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to\Desktop\Progetto BI\"/>
    </mc:Choice>
  </mc:AlternateContent>
  <xr:revisionPtr revIDLastSave="0" documentId="13_ncr:1_{9949AA15-C506-4FF2-9517-7988EDEC6392}" xr6:coauthVersionLast="47" xr6:coauthVersionMax="47" xr10:uidLastSave="{00000000-0000-0000-0000-000000000000}"/>
  <bookViews>
    <workbookView xWindow="1356" yWindow="996" windowWidth="21624" windowHeight="11244" xr2:uid="{70980D87-104A-43B4-B2B7-ED39EE7A1E4C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6" i="1"/>
  <c r="H24" i="1"/>
  <c r="H32" i="1"/>
  <c r="H48" i="1"/>
  <c r="H56" i="1"/>
  <c r="H64" i="1"/>
  <c r="H80" i="1"/>
  <c r="H88" i="1"/>
  <c r="H96" i="1"/>
  <c r="H112" i="1"/>
  <c r="H120" i="1"/>
  <c r="H128" i="1"/>
  <c r="H4" i="1"/>
  <c r="H8" i="1"/>
  <c r="H12" i="1"/>
  <c r="H20" i="1"/>
  <c r="H28" i="1"/>
  <c r="H36" i="1"/>
  <c r="H40" i="1"/>
  <c r="H44" i="1"/>
  <c r="H52" i="1"/>
  <c r="H60" i="1"/>
  <c r="H68" i="1"/>
  <c r="H72" i="1"/>
  <c r="H76" i="1"/>
  <c r="H84" i="1"/>
  <c r="H92" i="1"/>
  <c r="H100" i="1"/>
  <c r="H104" i="1"/>
  <c r="H108" i="1"/>
  <c r="H116" i="1"/>
  <c r="H124" i="1"/>
  <c r="H132" i="1"/>
  <c r="H133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1" i="1"/>
  <c r="H130" i="1"/>
  <c r="H129" i="1"/>
  <c r="H127" i="1"/>
  <c r="H126" i="1"/>
  <c r="H125" i="1"/>
  <c r="H123" i="1"/>
  <c r="H122" i="1"/>
  <c r="H121" i="1"/>
  <c r="H119" i="1"/>
  <c r="H118" i="1"/>
  <c r="H117" i="1"/>
  <c r="H115" i="1"/>
  <c r="H114" i="1"/>
  <c r="H113" i="1"/>
  <c r="H111" i="1"/>
  <c r="H110" i="1"/>
  <c r="H109" i="1"/>
  <c r="H107" i="1"/>
  <c r="H106" i="1"/>
  <c r="H105" i="1"/>
  <c r="H103" i="1"/>
  <c r="H102" i="1"/>
  <c r="H101" i="1"/>
  <c r="H99" i="1"/>
  <c r="H98" i="1"/>
  <c r="H97" i="1"/>
  <c r="H95" i="1"/>
  <c r="H94" i="1"/>
  <c r="H93" i="1"/>
  <c r="H91" i="1"/>
  <c r="H90" i="1"/>
  <c r="H89" i="1"/>
  <c r="H87" i="1"/>
  <c r="H86" i="1"/>
  <c r="H85" i="1"/>
  <c r="H83" i="1"/>
  <c r="H82" i="1"/>
  <c r="H81" i="1"/>
  <c r="H79" i="1"/>
  <c r="H78" i="1"/>
  <c r="H77" i="1"/>
  <c r="H75" i="1"/>
  <c r="H74" i="1"/>
  <c r="H73" i="1"/>
  <c r="H71" i="1"/>
  <c r="H70" i="1"/>
  <c r="H69" i="1"/>
  <c r="H67" i="1"/>
  <c r="H66" i="1"/>
  <c r="H65" i="1"/>
  <c r="H63" i="1"/>
  <c r="H62" i="1"/>
  <c r="H61" i="1"/>
  <c r="H59" i="1"/>
  <c r="H58" i="1"/>
  <c r="H57" i="1"/>
  <c r="H55" i="1"/>
  <c r="H54" i="1"/>
  <c r="H53" i="1"/>
  <c r="H51" i="1"/>
  <c r="H50" i="1"/>
  <c r="H49" i="1"/>
  <c r="H47" i="1"/>
  <c r="H46" i="1"/>
  <c r="H45" i="1"/>
  <c r="H43" i="1"/>
  <c r="H42" i="1"/>
  <c r="H41" i="1"/>
  <c r="H39" i="1"/>
  <c r="H38" i="1"/>
  <c r="H37" i="1"/>
  <c r="H35" i="1"/>
  <c r="H34" i="1"/>
  <c r="H33" i="1"/>
  <c r="H31" i="1"/>
  <c r="H30" i="1"/>
  <c r="H29" i="1"/>
  <c r="H27" i="1"/>
  <c r="H26" i="1"/>
  <c r="H25" i="1"/>
  <c r="H23" i="1"/>
  <c r="H22" i="1"/>
  <c r="H21" i="1"/>
  <c r="H19" i="1"/>
  <c r="H18" i="1"/>
  <c r="H17" i="1"/>
  <c r="H15" i="1"/>
  <c r="H14" i="1"/>
  <c r="H13" i="1"/>
  <c r="H11" i="1"/>
  <c r="H10" i="1"/>
  <c r="H9" i="1"/>
  <c r="H7" i="1"/>
  <c r="H6" i="1"/>
  <c r="H5" i="1"/>
  <c r="H3" i="1"/>
</calcChain>
</file>

<file path=xl/sharedStrings.xml><?xml version="1.0" encoding="utf-8"?>
<sst xmlns="http://schemas.openxmlformats.org/spreadsheetml/2006/main" count="469" uniqueCount="33">
  <si>
    <t>Numero</t>
  </si>
  <si>
    <t>Data</t>
  </si>
  <si>
    <t>Categoria</t>
  </si>
  <si>
    <t>Sotto categoria</t>
  </si>
  <si>
    <t>Materia</t>
  </si>
  <si>
    <t>Importo</t>
  </si>
  <si>
    <t>Saldato</t>
  </si>
  <si>
    <t>Pagato</t>
  </si>
  <si>
    <t>Costo orario</t>
  </si>
  <si>
    <t>Consulenza</t>
  </si>
  <si>
    <t>Excel</t>
  </si>
  <si>
    <t>Analisi dei dati</t>
  </si>
  <si>
    <t>Ebook</t>
  </si>
  <si>
    <t>SQL</t>
  </si>
  <si>
    <t>Access</t>
  </si>
  <si>
    <t>Corso</t>
  </si>
  <si>
    <t>Python</t>
  </si>
  <si>
    <t>Scuola dei Dati</t>
  </si>
  <si>
    <t>Analisi dati</t>
  </si>
  <si>
    <t>Statistica</t>
  </si>
  <si>
    <t>MongoDB</t>
  </si>
  <si>
    <t>Power BI</t>
  </si>
  <si>
    <t>SQL Server</t>
  </si>
  <si>
    <t>Offline</t>
  </si>
  <si>
    <t>Online</t>
  </si>
  <si>
    <t>Lezione singola</t>
  </si>
  <si>
    <t>Statistica Uni</t>
  </si>
  <si>
    <t>Statistica Liceo</t>
  </si>
  <si>
    <t>Analsi dati</t>
  </si>
  <si>
    <t/>
  </si>
  <si>
    <t>Marketplace</t>
  </si>
  <si>
    <t>Sito</t>
  </si>
  <si>
    <t>Sito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</si>
</sst>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164" fontId="0" fillId="0" borderId="0" xfId="0" applyNumberFormat="1"/>
    <xf numFmtId="1" fontId="0" fillId="2" borderId="0" xfId="0" applyNumberFormat="1" applyFill="1"/>
    <xf numFmtId="14" fontId="0" fillId="2" borderId="0" xfId="0" applyNumberFormat="1" applyFill="1"/>
    <xf numFmtId="0" fontId="0" fillId="2" borderId="0" xfId="0" applyFill="1"/>
    <xf numFmtId="44" fontId="0" fillId="2" borderId="0" xfId="1" applyFont="1" applyFill="1"/>
    <xf numFmtId="164" fontId="0" fillId="2" borderId="0" xfId="0" applyNumberFormat="1" applyFill="1"/>
  </cellXfs>
  <cellStyles count="2">
    <cellStyle name="Normale" xfId="0" builtinId="0"/>
    <cellStyle name="Valuta" xfId="1" builtinId="4"/>
  </cellStyles>
  <dxfs count="8">
    <dxf>
      <numFmt numFmtId="164" formatCode="#,##0.00\ &quot;€&quot;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A5EAF-7A6D-40EF-8922-2D2D64BF7AA9}" name="Tabella1" displayName="Tabella1" ref="A1:I150" totalsRowShown="0" headerRowDxfId="7">
  <tableColumns count="9">
    <tableColumn id="1" xr3:uid="{68D3C069-05C6-4CA9-B3E4-4EE8EF5F7411}" name="Numero" dataDxfId="6"/>
    <tableColumn id="2" xr3:uid="{1B80F556-2AD1-4DB0-BDDA-D097B4D6A39C}" name="Data" dataDxfId="5"/>
    <tableColumn id="4" xr3:uid="{FC5DDBF5-C07E-4574-B325-5D276B67DF05}" name="Categoria" dataDxfId="4"/>
    <tableColumn id="5" xr3:uid="{213195F4-CA3A-4F57-97A7-8AA24299B8EC}" name="Sotto categoria" dataDxfId="3"/>
    <tableColumn id="6" xr3:uid="{1D9BB5E3-A327-4BAF-B0E0-66DD898A6565}" name="Materia" dataDxfId="2"/>
    <tableColumn id="7" xr3:uid="{5BC6A21A-C776-404A-B8C4-EEAF53425DEA}" name="Importo" dataCellStyle="Valuta"/>
    <tableColumn id="8" xr3:uid="{5D40D1D4-47A7-479B-A22C-4B441FB869E7}" name="Saldato" dataCellStyle="Valuta"/>
    <tableColumn id="10" xr3:uid="{289F0931-7F67-4AB5-9B2F-688133B4261E}" name="Pagato" dataDxfId="1">
      <calculatedColumnFormula>IF(Tabella1[[#This Row],[Importo]]=Tabella1[[#This Row],[Saldato]],"SI","NO")</calculatedColumnFormula>
    </tableColumn>
    <tableColumn id="15" xr3:uid="{10C880FD-FEC9-4535-8B73-B08C8EE9006F}" name="Costo orari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6369-EF1A-4E0F-8836-8F3C347A0352}">
  <dimension ref="A1:I150"/>
  <sheetViews>
    <sheetView tabSelected="1" workbookViewId="0">
      <selection activeCell="I126" sqref="I126"/>
    </sheetView>
  </sheetViews>
  <sheetFormatPr defaultRowHeight="14.4" x14ac:dyDescent="0.3"/>
  <cols>
    <col min="1" max="1" width="9.6640625" customWidth="1"/>
    <col min="2" max="2" width="10.5546875" bestFit="1" customWidth="1"/>
    <col min="3" max="3" width="13.109375" customWidth="1"/>
    <col min="4" max="4" width="20.88671875" bestFit="1" customWidth="1"/>
    <col min="5" max="5" width="19.109375" bestFit="1" customWidth="1"/>
    <col min="6" max="6" width="13.6640625" style="2" customWidth="1"/>
    <col min="7" max="7" width="12.5546875" customWidth="1"/>
    <col min="8" max="8" width="8.88671875" hidden="1" customWidth="1"/>
    <col min="9" max="9" width="13.44140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s="4">
        <v>1</v>
      </c>
      <c r="B2" s="5">
        <v>44936</v>
      </c>
      <c r="C2" s="5" t="s">
        <v>24</v>
      </c>
      <c r="D2" s="5" t="s">
        <v>30</v>
      </c>
      <c r="E2" s="5" t="s">
        <v>28</v>
      </c>
      <c r="F2" s="7">
        <v>226.755</v>
      </c>
      <c r="G2" s="7">
        <v>226.755</v>
      </c>
      <c r="H2" s="5" t="str">
        <f>IF(Tabella1[[#This Row],[Importo]]=Tabella1[[#This Row],[Saldato]],"SI","NO")</f>
        <v>SI</v>
      </c>
      <c r="I2" s="8"/>
    </row>
    <row r="3" spans="1:9" x14ac:dyDescent="0.3">
      <c r="A3" s="4">
        <v>2</v>
      </c>
      <c r="B3" s="5">
        <v>44937</v>
      </c>
      <c r="C3" s="5" t="s">
        <v>23</v>
      </c>
      <c r="D3" s="5" t="s">
        <v>9</v>
      </c>
      <c r="E3" s="5" t="s">
        <v>10</v>
      </c>
      <c r="F3" s="7">
        <v>21</v>
      </c>
      <c r="G3" s="7">
        <v>21</v>
      </c>
      <c r="H3" s="5" t="str">
        <f>IF(Tabella1[[#This Row],[Importo]]=Tabella1[[#This Row],[Saldato]],"SI","NO")</f>
        <v>SI</v>
      </c>
      <c r="I3" s="8">
        <v>35</v>
      </c>
    </row>
    <row r="4" spans="1:9" x14ac:dyDescent="0.3">
      <c r="A4" s="4">
        <v>3</v>
      </c>
      <c r="B4" s="5">
        <v>44946</v>
      </c>
      <c r="C4" s="5" t="s">
        <v>24</v>
      </c>
      <c r="D4" s="5" t="s">
        <v>30</v>
      </c>
      <c r="E4" s="5" t="s">
        <v>11</v>
      </c>
      <c r="F4" s="7">
        <v>13.888</v>
      </c>
      <c r="G4" s="7">
        <v>13.888</v>
      </c>
      <c r="H4" s="5" t="str">
        <f>IF(Tabella1[[#This Row],[Importo]]=Tabella1[[#This Row],[Saldato]],"SI","NO")</f>
        <v>SI</v>
      </c>
      <c r="I4" s="8"/>
    </row>
    <row r="5" spans="1:9" x14ac:dyDescent="0.3">
      <c r="A5" s="4">
        <v>4</v>
      </c>
      <c r="B5" s="5">
        <v>44928</v>
      </c>
      <c r="C5" s="5" t="s">
        <v>24</v>
      </c>
      <c r="D5" s="6" t="s">
        <v>12</v>
      </c>
      <c r="E5" s="5" t="s">
        <v>13</v>
      </c>
      <c r="F5" s="7">
        <v>2.5979999999999999</v>
      </c>
      <c r="G5" s="7">
        <v>2.5979999999999999</v>
      </c>
      <c r="H5" s="5" t="str">
        <f>IF(Tabella1[[#This Row],[Importo]]=Tabella1[[#This Row],[Saldato]],"SI","NO")</f>
        <v>SI</v>
      </c>
      <c r="I5" s="8"/>
    </row>
    <row r="6" spans="1:9" x14ac:dyDescent="0.3">
      <c r="A6" s="4">
        <v>5</v>
      </c>
      <c r="B6" s="5">
        <v>44928</v>
      </c>
      <c r="C6" s="5" t="s">
        <v>23</v>
      </c>
      <c r="D6" s="5" t="s">
        <v>9</v>
      </c>
      <c r="E6" s="5" t="s">
        <v>14</v>
      </c>
      <c r="F6" s="7">
        <v>384</v>
      </c>
      <c r="G6" s="7">
        <v>384</v>
      </c>
      <c r="H6" s="5" t="str">
        <f>IF(Tabella1[[#This Row],[Importo]]=Tabella1[[#This Row],[Saldato]],"SI","NO")</f>
        <v>SI</v>
      </c>
      <c r="I6" s="8">
        <v>40</v>
      </c>
    </row>
    <row r="7" spans="1:9" x14ac:dyDescent="0.3">
      <c r="A7" s="4">
        <v>6</v>
      </c>
      <c r="B7" s="5">
        <v>44942</v>
      </c>
      <c r="C7" s="5" t="s">
        <v>23</v>
      </c>
      <c r="D7" s="5" t="s">
        <v>15</v>
      </c>
      <c r="E7" s="5" t="s">
        <v>10</v>
      </c>
      <c r="F7" s="7">
        <v>2856</v>
      </c>
      <c r="G7" s="7">
        <v>2856</v>
      </c>
      <c r="H7" s="5" t="str">
        <f>IF(Tabella1[[#This Row],[Importo]]=Tabella1[[#This Row],[Saldato]],"SI","NO")</f>
        <v>SI</v>
      </c>
      <c r="I7" s="8">
        <v>60</v>
      </c>
    </row>
    <row r="8" spans="1:9" x14ac:dyDescent="0.3">
      <c r="A8" s="4">
        <v>7</v>
      </c>
      <c r="B8" s="5">
        <v>44973</v>
      </c>
      <c r="C8" s="5" t="s">
        <v>23</v>
      </c>
      <c r="D8" s="5" t="s">
        <v>15</v>
      </c>
      <c r="E8" s="5" t="s">
        <v>10</v>
      </c>
      <c r="F8" s="7">
        <v>1440</v>
      </c>
      <c r="G8" s="7">
        <v>1440</v>
      </c>
      <c r="H8" s="5" t="str">
        <f>IF(Tabella1[[#This Row],[Importo]]=Tabella1[[#This Row],[Saldato]],"SI","NO")</f>
        <v>SI</v>
      </c>
      <c r="I8" s="8">
        <v>60</v>
      </c>
    </row>
    <row r="9" spans="1:9" x14ac:dyDescent="0.3">
      <c r="A9" s="4">
        <v>8</v>
      </c>
      <c r="B9" s="5">
        <v>44968</v>
      </c>
      <c r="C9" s="5" t="s">
        <v>24</v>
      </c>
      <c r="D9" s="5" t="s">
        <v>30</v>
      </c>
      <c r="E9" s="5" t="s">
        <v>28</v>
      </c>
      <c r="F9" s="7">
        <v>108.69</v>
      </c>
      <c r="G9" s="7">
        <v>108.69</v>
      </c>
      <c r="H9" s="5" t="str">
        <f>IF(Tabella1[[#This Row],[Importo]]=Tabella1[[#This Row],[Saldato]],"SI","NO")</f>
        <v>SI</v>
      </c>
      <c r="I9" s="8"/>
    </row>
    <row r="10" spans="1:9" x14ac:dyDescent="0.3">
      <c r="A10" s="4">
        <v>9</v>
      </c>
      <c r="B10" s="5">
        <v>44958</v>
      </c>
      <c r="C10" s="5" t="s">
        <v>24</v>
      </c>
      <c r="D10" s="6" t="s">
        <v>12</v>
      </c>
      <c r="E10" s="5" t="s">
        <v>13</v>
      </c>
      <c r="F10" s="7">
        <v>14.722</v>
      </c>
      <c r="G10" s="7">
        <v>14.722</v>
      </c>
      <c r="H10" s="5" t="str">
        <f>IF(Tabella1[[#This Row],[Importo]]=Tabella1[[#This Row],[Saldato]],"SI","NO")</f>
        <v>SI</v>
      </c>
      <c r="I10" s="8"/>
    </row>
    <row r="11" spans="1:9" x14ac:dyDescent="0.3">
      <c r="A11" s="4">
        <v>10</v>
      </c>
      <c r="B11" s="5">
        <v>44963</v>
      </c>
      <c r="C11" s="5" t="s">
        <v>23</v>
      </c>
      <c r="D11" s="5" t="s">
        <v>9</v>
      </c>
      <c r="E11" s="5" t="s">
        <v>14</v>
      </c>
      <c r="F11" s="7">
        <v>264</v>
      </c>
      <c r="G11" s="7">
        <v>264</v>
      </c>
      <c r="H11" s="5" t="str">
        <f>IF(Tabella1[[#This Row],[Importo]]=Tabella1[[#This Row],[Saldato]],"SI","NO")</f>
        <v>SI</v>
      </c>
      <c r="I11" s="8">
        <v>40</v>
      </c>
    </row>
    <row r="12" spans="1:9" x14ac:dyDescent="0.3">
      <c r="A12" s="4">
        <v>11</v>
      </c>
      <c r="B12" s="5">
        <v>44973</v>
      </c>
      <c r="C12" s="5" t="s">
        <v>23</v>
      </c>
      <c r="D12" s="5" t="s">
        <v>15</v>
      </c>
      <c r="E12" s="5" t="s">
        <v>13</v>
      </c>
      <c r="F12" s="7">
        <v>96</v>
      </c>
      <c r="G12" s="7">
        <v>96</v>
      </c>
      <c r="H12" s="5" t="str">
        <f>IF(Tabella1[[#This Row],[Importo]]=Tabella1[[#This Row],[Saldato]],"SI","NO")</f>
        <v>SI</v>
      </c>
      <c r="I12" s="8">
        <v>60</v>
      </c>
    </row>
    <row r="13" spans="1:9" x14ac:dyDescent="0.3">
      <c r="A13" s="4">
        <v>12</v>
      </c>
      <c r="B13" s="5">
        <v>45000</v>
      </c>
      <c r="C13" s="5" t="s">
        <v>23</v>
      </c>
      <c r="D13" s="5" t="s">
        <v>9</v>
      </c>
      <c r="E13" s="5" t="s">
        <v>10</v>
      </c>
      <c r="F13" s="7">
        <v>74.25</v>
      </c>
      <c r="G13" s="7">
        <v>74.25</v>
      </c>
      <c r="H13" s="5" t="str">
        <f>IF(Tabella1[[#This Row],[Importo]]=Tabella1[[#This Row],[Saldato]],"SI","NO")</f>
        <v>SI</v>
      </c>
      <c r="I13" s="8">
        <v>35</v>
      </c>
    </row>
    <row r="14" spans="1:9" x14ac:dyDescent="0.3">
      <c r="A14" s="4">
        <v>13</v>
      </c>
      <c r="B14" s="5">
        <v>44994</v>
      </c>
      <c r="C14" s="5" t="s">
        <v>24</v>
      </c>
      <c r="D14" s="5" t="s">
        <v>30</v>
      </c>
      <c r="E14" s="5" t="s">
        <v>28</v>
      </c>
      <c r="F14" s="7">
        <v>158.57999999999998</v>
      </c>
      <c r="G14" s="7">
        <v>158.57999999999998</v>
      </c>
      <c r="H14" s="5" t="str">
        <f>IF(Tabella1[[#This Row],[Importo]]=Tabella1[[#This Row],[Saldato]],"SI","NO")</f>
        <v>SI</v>
      </c>
      <c r="I14" s="8"/>
    </row>
    <row r="15" spans="1:9" x14ac:dyDescent="0.3">
      <c r="A15" s="4">
        <v>14</v>
      </c>
      <c r="B15" s="5">
        <v>45004</v>
      </c>
      <c r="C15" s="5" t="s">
        <v>24</v>
      </c>
      <c r="D15" s="5" t="s">
        <v>30</v>
      </c>
      <c r="E15" s="5" t="s">
        <v>11</v>
      </c>
      <c r="F15" s="7">
        <v>1.6560000000000001</v>
      </c>
      <c r="G15" s="7">
        <v>1.6560000000000001</v>
      </c>
      <c r="H15" s="5" t="str">
        <f>IF(Tabella1[[#This Row],[Importo]]=Tabella1[[#This Row],[Saldato]],"SI","NO")</f>
        <v>SI</v>
      </c>
      <c r="I15" s="8"/>
    </row>
    <row r="16" spans="1:9" x14ac:dyDescent="0.3">
      <c r="A16" s="4">
        <v>15</v>
      </c>
      <c r="B16" s="5">
        <v>45001</v>
      </c>
      <c r="C16" s="5" t="s">
        <v>23</v>
      </c>
      <c r="D16" s="5" t="s">
        <v>15</v>
      </c>
      <c r="E16" s="5" t="s">
        <v>13</v>
      </c>
      <c r="F16" s="7">
        <v>480</v>
      </c>
      <c r="G16" s="7">
        <v>480</v>
      </c>
      <c r="H16" s="5" t="str">
        <f>IF(Tabella1[[#This Row],[Importo]]=Tabella1[[#This Row],[Saldato]],"SI","NO")</f>
        <v>SI</v>
      </c>
      <c r="I16" s="8">
        <v>60</v>
      </c>
    </row>
    <row r="17" spans="1:9" x14ac:dyDescent="0.3">
      <c r="A17" s="4">
        <v>16</v>
      </c>
      <c r="B17" s="5">
        <v>45005</v>
      </c>
      <c r="C17" s="5" t="s">
        <v>23</v>
      </c>
      <c r="D17" s="5" t="s">
        <v>15</v>
      </c>
      <c r="E17" s="5" t="s">
        <v>14</v>
      </c>
      <c r="F17" s="7">
        <v>256</v>
      </c>
      <c r="G17" s="7">
        <v>256</v>
      </c>
      <c r="H17" s="5" t="str">
        <f>IF(Tabella1[[#This Row],[Importo]]=Tabella1[[#This Row],[Saldato]],"SI","NO")</f>
        <v>SI</v>
      </c>
      <c r="I17" s="8">
        <v>40</v>
      </c>
    </row>
    <row r="18" spans="1:9" x14ac:dyDescent="0.3">
      <c r="A18" s="4">
        <v>17</v>
      </c>
      <c r="B18" s="5">
        <v>44987</v>
      </c>
      <c r="C18" s="5" t="s">
        <v>24</v>
      </c>
      <c r="D18" s="6" t="s">
        <v>12</v>
      </c>
      <c r="E18" s="5" t="s">
        <v>13</v>
      </c>
      <c r="F18" s="7">
        <v>2.5979999999999999</v>
      </c>
      <c r="G18" s="7">
        <v>2.5979999999999999</v>
      </c>
      <c r="H18" s="5" t="str">
        <f>IF(Tabella1[[#This Row],[Importo]]=Tabella1[[#This Row],[Saldato]],"SI","NO")</f>
        <v>SI</v>
      </c>
      <c r="I18" s="8"/>
    </row>
    <row r="19" spans="1:9" x14ac:dyDescent="0.3">
      <c r="A19" s="4">
        <v>18</v>
      </c>
      <c r="B19" s="5">
        <v>44991</v>
      </c>
      <c r="C19" s="5" t="s">
        <v>23</v>
      </c>
      <c r="D19" s="5" t="s">
        <v>9</v>
      </c>
      <c r="E19" s="5" t="s">
        <v>14</v>
      </c>
      <c r="F19" s="7">
        <v>144</v>
      </c>
      <c r="G19" s="7">
        <v>144</v>
      </c>
      <c r="H19" s="5" t="str">
        <f>IF(Tabella1[[#This Row],[Importo]]=Tabella1[[#This Row],[Saldato]],"SI","NO")</f>
        <v>SI</v>
      </c>
      <c r="I19" s="8">
        <v>40</v>
      </c>
    </row>
    <row r="20" spans="1:9" x14ac:dyDescent="0.3">
      <c r="A20" s="4">
        <v>19</v>
      </c>
      <c r="B20" s="5">
        <v>44991</v>
      </c>
      <c r="C20" s="5" t="s">
        <v>23</v>
      </c>
      <c r="D20" s="5" t="s">
        <v>15</v>
      </c>
      <c r="E20" s="5" t="s">
        <v>13</v>
      </c>
      <c r="F20" s="7">
        <v>2788</v>
      </c>
      <c r="G20" s="7">
        <v>2788</v>
      </c>
      <c r="H20" s="5" t="str">
        <f>IF(Tabella1[[#This Row],[Importo]]=Tabella1[[#This Row],[Saldato]],"SI","NO")</f>
        <v>SI</v>
      </c>
      <c r="I20" s="8">
        <v>41</v>
      </c>
    </row>
    <row r="21" spans="1:9" x14ac:dyDescent="0.3">
      <c r="A21" s="4">
        <v>20</v>
      </c>
      <c r="B21" s="5">
        <v>45001</v>
      </c>
      <c r="C21" s="5" t="s">
        <v>23</v>
      </c>
      <c r="D21" s="5" t="s">
        <v>15</v>
      </c>
      <c r="E21" s="5" t="s">
        <v>13</v>
      </c>
      <c r="F21" s="7">
        <v>864</v>
      </c>
      <c r="G21" s="7">
        <v>864</v>
      </c>
      <c r="H21" s="5" t="str">
        <f>IF(Tabella1[[#This Row],[Importo]]=Tabella1[[#This Row],[Saldato]],"SI","NO")</f>
        <v>SI</v>
      </c>
      <c r="I21" s="8">
        <v>48.25</v>
      </c>
    </row>
    <row r="22" spans="1:9" x14ac:dyDescent="0.3">
      <c r="A22" s="4">
        <v>21</v>
      </c>
      <c r="B22" s="5">
        <v>44997</v>
      </c>
      <c r="C22" s="5" t="s">
        <v>23</v>
      </c>
      <c r="D22" s="5" t="s">
        <v>15</v>
      </c>
      <c r="E22" s="6" t="s">
        <v>16</v>
      </c>
      <c r="F22" s="7">
        <v>228</v>
      </c>
      <c r="G22" s="7">
        <v>228</v>
      </c>
      <c r="H22" s="5" t="str">
        <f>IF(Tabella1[[#This Row],[Importo]]=Tabella1[[#This Row],[Saldato]],"SI","NO")</f>
        <v>SI</v>
      </c>
      <c r="I22" s="8">
        <v>60</v>
      </c>
    </row>
    <row r="23" spans="1:9" x14ac:dyDescent="0.3">
      <c r="A23" s="4">
        <v>22</v>
      </c>
      <c r="B23" s="5">
        <v>45027</v>
      </c>
      <c r="C23" s="5" t="s">
        <v>24</v>
      </c>
      <c r="D23" s="5" t="s">
        <v>30</v>
      </c>
      <c r="E23" s="5" t="s">
        <v>28</v>
      </c>
      <c r="F23" s="7">
        <v>274.93200000000002</v>
      </c>
      <c r="G23" s="7">
        <v>274.93200000000002</v>
      </c>
      <c r="H23" s="5" t="str">
        <f>IF(Tabella1[[#This Row],[Importo]]=Tabella1[[#This Row],[Saldato]],"SI","NO")</f>
        <v>SI</v>
      </c>
      <c r="I23" s="8"/>
    </row>
    <row r="24" spans="1:9" x14ac:dyDescent="0.3">
      <c r="A24" s="4">
        <v>23</v>
      </c>
      <c r="B24" s="5">
        <v>45034</v>
      </c>
      <c r="C24" s="5" t="s">
        <v>24</v>
      </c>
      <c r="D24" s="5" t="s">
        <v>30</v>
      </c>
      <c r="E24" s="5" t="s">
        <v>11</v>
      </c>
      <c r="F24" s="7">
        <v>1.9889999999999999</v>
      </c>
      <c r="G24" s="7">
        <v>1.9889999999999999</v>
      </c>
      <c r="H24" s="5" t="str">
        <f>IF(Tabella1[[#This Row],[Importo]]=Tabella1[[#This Row],[Saldato]],"SI","NO")</f>
        <v>SI</v>
      </c>
      <c r="I24" s="8"/>
    </row>
    <row r="25" spans="1:9" x14ac:dyDescent="0.3">
      <c r="A25" s="4">
        <v>24</v>
      </c>
      <c r="B25" s="5">
        <v>45028</v>
      </c>
      <c r="C25" s="5" t="s">
        <v>23</v>
      </c>
      <c r="D25" s="5" t="s">
        <v>15</v>
      </c>
      <c r="E25" s="6" t="s">
        <v>16</v>
      </c>
      <c r="F25" s="7">
        <v>72</v>
      </c>
      <c r="G25" s="7">
        <v>72</v>
      </c>
      <c r="H25" s="5" t="str">
        <f>IF(Tabella1[[#This Row],[Importo]]=Tabella1[[#This Row],[Saldato]],"SI","NO")</f>
        <v>SI</v>
      </c>
      <c r="I25" s="8">
        <v>60</v>
      </c>
    </row>
    <row r="26" spans="1:9" x14ac:dyDescent="0.3">
      <c r="A26" s="4">
        <v>25</v>
      </c>
      <c r="B26" s="5">
        <v>45034</v>
      </c>
      <c r="C26" s="5" t="s">
        <v>24</v>
      </c>
      <c r="D26" s="5" t="s">
        <v>31</v>
      </c>
      <c r="E26" s="5" t="s">
        <v>13</v>
      </c>
      <c r="F26" s="7">
        <v>49.3</v>
      </c>
      <c r="G26" s="7">
        <v>49.3</v>
      </c>
      <c r="H26" s="5" t="str">
        <f>IF(Tabella1[[#This Row],[Importo]]=Tabella1[[#This Row],[Saldato]],"SI","NO")</f>
        <v>SI</v>
      </c>
      <c r="I26" s="8"/>
    </row>
    <row r="27" spans="1:9" x14ac:dyDescent="0.3">
      <c r="A27" s="4">
        <v>26</v>
      </c>
      <c r="B27" s="5">
        <v>45032</v>
      </c>
      <c r="C27" s="5" t="s">
        <v>23</v>
      </c>
      <c r="D27" s="5" t="s">
        <v>15</v>
      </c>
      <c r="E27" s="5" t="s">
        <v>13</v>
      </c>
      <c r="F27" s="7">
        <v>360</v>
      </c>
      <c r="G27" s="7">
        <v>360</v>
      </c>
      <c r="H27" s="5" t="str">
        <f>IF(Tabella1[[#This Row],[Importo]]=Tabella1[[#This Row],[Saldato]],"SI","NO")</f>
        <v>SI</v>
      </c>
      <c r="I27" s="8">
        <v>60</v>
      </c>
    </row>
    <row r="28" spans="1:9" x14ac:dyDescent="0.3">
      <c r="A28" s="4">
        <v>27</v>
      </c>
      <c r="B28" s="5">
        <v>45045</v>
      </c>
      <c r="C28" s="5" t="s">
        <v>23</v>
      </c>
      <c r="D28" s="5" t="s">
        <v>15</v>
      </c>
      <c r="E28" s="6" t="s">
        <v>16</v>
      </c>
      <c r="F28" s="7">
        <v>288</v>
      </c>
      <c r="G28" s="7">
        <v>288</v>
      </c>
      <c r="H28" s="5" t="str">
        <f>IF(Tabella1[[#This Row],[Importo]]=Tabella1[[#This Row],[Saldato]],"SI","NO")</f>
        <v>SI</v>
      </c>
      <c r="I28" s="8">
        <v>60</v>
      </c>
    </row>
    <row r="29" spans="1:9" x14ac:dyDescent="0.3">
      <c r="A29" s="4">
        <v>28</v>
      </c>
      <c r="B29" s="5">
        <v>45032</v>
      </c>
      <c r="C29" s="5" t="s">
        <v>23</v>
      </c>
      <c r="D29" s="5" t="s">
        <v>15</v>
      </c>
      <c r="E29" s="5" t="s">
        <v>13</v>
      </c>
      <c r="F29" s="7">
        <v>347.40000000000003</v>
      </c>
      <c r="G29" s="7">
        <v>347.40000000000003</v>
      </c>
      <c r="H29" s="5" t="str">
        <f>IF(Tabella1[[#This Row],[Importo]]=Tabella1[[#This Row],[Saldato]],"SI","NO")</f>
        <v>SI</v>
      </c>
      <c r="I29" s="8">
        <v>48.25</v>
      </c>
    </row>
    <row r="30" spans="1:9" x14ac:dyDescent="0.3">
      <c r="A30" s="4">
        <v>29</v>
      </c>
      <c r="B30" s="5">
        <v>45045</v>
      </c>
      <c r="C30" s="5" t="s">
        <v>23</v>
      </c>
      <c r="D30" s="5" t="s">
        <v>15</v>
      </c>
      <c r="E30" s="5" t="s">
        <v>13</v>
      </c>
      <c r="F30" s="7">
        <v>190</v>
      </c>
      <c r="G30" s="7">
        <v>190</v>
      </c>
      <c r="H30" s="5" t="str">
        <f>IF(Tabella1[[#This Row],[Importo]]=Tabella1[[#This Row],[Saldato]],"SI","NO")</f>
        <v>SI</v>
      </c>
      <c r="I30" s="8">
        <v>50</v>
      </c>
    </row>
    <row r="31" spans="1:9" x14ac:dyDescent="0.3">
      <c r="A31" s="4">
        <v>30</v>
      </c>
      <c r="B31" s="5">
        <v>45032</v>
      </c>
      <c r="C31" s="5" t="s">
        <v>23</v>
      </c>
      <c r="D31" s="5" t="s">
        <v>15</v>
      </c>
      <c r="E31" s="5" t="s">
        <v>13</v>
      </c>
      <c r="F31" s="7">
        <v>384</v>
      </c>
      <c r="G31" s="7">
        <v>384</v>
      </c>
      <c r="H31" s="5" t="str">
        <f>IF(Tabella1[[#This Row],[Importo]]=Tabella1[[#This Row],[Saldato]],"SI","NO")</f>
        <v>SI</v>
      </c>
      <c r="I31" s="8">
        <v>60</v>
      </c>
    </row>
    <row r="32" spans="1:9" x14ac:dyDescent="0.3">
      <c r="A32" s="4">
        <v>31</v>
      </c>
      <c r="B32" s="5">
        <v>45062</v>
      </c>
      <c r="C32" s="5" t="s">
        <v>23</v>
      </c>
      <c r="D32" s="5" t="s">
        <v>15</v>
      </c>
      <c r="E32" s="5" t="s">
        <v>13</v>
      </c>
      <c r="F32" s="7">
        <v>614.40000000000009</v>
      </c>
      <c r="G32" s="7">
        <v>614.40000000000009</v>
      </c>
      <c r="H32" s="5" t="str">
        <f>IF(Tabella1[[#This Row],[Importo]]=Tabella1[[#This Row],[Saldato]],"SI","NO")</f>
        <v>SI</v>
      </c>
      <c r="I32" s="8">
        <v>48.25</v>
      </c>
    </row>
    <row r="33" spans="1:9" x14ac:dyDescent="0.3">
      <c r="A33" s="4">
        <v>32</v>
      </c>
      <c r="B33" s="5">
        <v>45051</v>
      </c>
      <c r="C33" s="5" t="s">
        <v>24</v>
      </c>
      <c r="D33" s="5" t="s">
        <v>30</v>
      </c>
      <c r="E33" s="5" t="s">
        <v>28</v>
      </c>
      <c r="F33" s="7">
        <v>419.89200000000005</v>
      </c>
      <c r="G33" s="7">
        <v>419.89200000000005</v>
      </c>
      <c r="H33" s="5" t="str">
        <f>IF(Tabella1[[#This Row],[Importo]]=Tabella1[[#This Row],[Saldato]],"SI","NO")</f>
        <v>SI</v>
      </c>
      <c r="I33" s="8"/>
    </row>
    <row r="34" spans="1:9" x14ac:dyDescent="0.3">
      <c r="A34" s="4">
        <v>33</v>
      </c>
      <c r="B34" s="5">
        <v>45062</v>
      </c>
      <c r="C34" s="5" t="s">
        <v>24</v>
      </c>
      <c r="D34" s="5" t="s">
        <v>31</v>
      </c>
      <c r="E34" s="5" t="s">
        <v>14</v>
      </c>
      <c r="F34" s="7">
        <v>34.200000000000003</v>
      </c>
      <c r="G34" s="7">
        <v>34.200000000000003</v>
      </c>
      <c r="H34" s="5" t="str">
        <f>IF(Tabella1[[#This Row],[Importo]]=Tabella1[[#This Row],[Saldato]],"SI","NO")</f>
        <v>SI</v>
      </c>
      <c r="I34" s="8"/>
    </row>
    <row r="35" spans="1:9" x14ac:dyDescent="0.3">
      <c r="A35" s="4">
        <v>34</v>
      </c>
      <c r="B35" s="5">
        <v>45063</v>
      </c>
      <c r="C35" s="5" t="s">
        <v>24</v>
      </c>
      <c r="D35" s="5" t="s">
        <v>31</v>
      </c>
      <c r="E35" s="5" t="s">
        <v>17</v>
      </c>
      <c r="F35" s="7">
        <v>104.3</v>
      </c>
      <c r="G35" s="7">
        <v>104.3</v>
      </c>
      <c r="H35" s="5" t="str">
        <f>IF(Tabella1[[#This Row],[Importo]]=Tabella1[[#This Row],[Saldato]],"SI","NO")</f>
        <v>SI</v>
      </c>
      <c r="I35" s="8"/>
    </row>
    <row r="36" spans="1:9" x14ac:dyDescent="0.3">
      <c r="A36" s="4">
        <v>35</v>
      </c>
      <c r="B36" s="5">
        <v>45065</v>
      </c>
      <c r="C36" s="5" t="s">
        <v>24</v>
      </c>
      <c r="D36" s="5" t="s">
        <v>30</v>
      </c>
      <c r="E36" s="5" t="s">
        <v>11</v>
      </c>
      <c r="F36" s="7">
        <v>30.753</v>
      </c>
      <c r="G36" s="7">
        <v>30.753</v>
      </c>
      <c r="H36" s="5" t="str">
        <f>IF(Tabella1[[#This Row],[Importo]]=Tabella1[[#This Row],[Saldato]],"SI","NO")</f>
        <v>SI</v>
      </c>
      <c r="I36" s="8"/>
    </row>
    <row r="37" spans="1:9" x14ac:dyDescent="0.3">
      <c r="A37" s="4">
        <v>36</v>
      </c>
      <c r="B37" s="5">
        <v>45065</v>
      </c>
      <c r="C37" s="5" t="s">
        <v>24</v>
      </c>
      <c r="D37" s="5" t="s">
        <v>32</v>
      </c>
      <c r="E37" s="5" t="s">
        <v>13</v>
      </c>
      <c r="F37" s="7">
        <v>40.599999999999994</v>
      </c>
      <c r="G37" s="7">
        <v>40.599999999999994</v>
      </c>
      <c r="H37" s="5" t="str">
        <f>IF(Tabella1[[#This Row],[Importo]]=Tabella1[[#This Row],[Saldato]],"SI","NO")</f>
        <v>SI</v>
      </c>
      <c r="I37" s="8"/>
    </row>
    <row r="38" spans="1:9" x14ac:dyDescent="0.3">
      <c r="A38" s="4">
        <v>37</v>
      </c>
      <c r="B38" s="5">
        <v>45075</v>
      </c>
      <c r="C38" s="5" t="s">
        <v>23</v>
      </c>
      <c r="D38" s="5" t="s">
        <v>15</v>
      </c>
      <c r="E38" s="5" t="s">
        <v>13</v>
      </c>
      <c r="F38" s="7">
        <v>1000</v>
      </c>
      <c r="G38" s="7">
        <v>1000</v>
      </c>
      <c r="H38" s="5" t="str">
        <f>IF(Tabella1[[#This Row],[Importo]]=Tabella1[[#This Row],[Saldato]],"SI","NO")</f>
        <v>SI</v>
      </c>
      <c r="I38" s="8">
        <v>50</v>
      </c>
    </row>
    <row r="39" spans="1:9" x14ac:dyDescent="0.3">
      <c r="A39" s="4">
        <v>38</v>
      </c>
      <c r="B39" s="5">
        <v>45075</v>
      </c>
      <c r="C39" s="5" t="s">
        <v>24</v>
      </c>
      <c r="D39" s="6" t="s">
        <v>12</v>
      </c>
      <c r="E39" s="5" t="s">
        <v>13</v>
      </c>
      <c r="F39" s="7">
        <v>6.7360000000000007</v>
      </c>
      <c r="G39" s="7">
        <v>6.7360000000000007</v>
      </c>
      <c r="H39" s="5" t="str">
        <f>IF(Tabella1[[#This Row],[Importo]]=Tabella1[[#This Row],[Saldato]],"SI","NO")</f>
        <v>SI</v>
      </c>
      <c r="I39" s="8"/>
    </row>
    <row r="40" spans="1:9" x14ac:dyDescent="0.3">
      <c r="A40" s="4">
        <v>39</v>
      </c>
      <c r="B40" s="5">
        <v>45075</v>
      </c>
      <c r="C40" s="5" t="s">
        <v>23</v>
      </c>
      <c r="D40" s="5" t="s">
        <v>15</v>
      </c>
      <c r="E40" s="6" t="s">
        <v>16</v>
      </c>
      <c r="F40" s="7">
        <v>648</v>
      </c>
      <c r="G40" s="7">
        <v>648</v>
      </c>
      <c r="H40" s="5" t="str">
        <f>IF(Tabella1[[#This Row],[Importo]]=Tabella1[[#This Row],[Saldato]],"SI","NO")</f>
        <v>SI</v>
      </c>
      <c r="I40" s="8">
        <v>60</v>
      </c>
    </row>
    <row r="41" spans="1:9" x14ac:dyDescent="0.3">
      <c r="A41" s="4">
        <v>40</v>
      </c>
      <c r="B41" s="5">
        <v>45052</v>
      </c>
      <c r="C41" s="5" t="s">
        <v>23</v>
      </c>
      <c r="D41" s="5" t="s">
        <v>9</v>
      </c>
      <c r="E41" s="5" t="s">
        <v>14</v>
      </c>
      <c r="F41" s="7">
        <v>640</v>
      </c>
      <c r="G41" s="7">
        <v>640</v>
      </c>
      <c r="H41" s="5" t="str">
        <f>IF(Tabella1[[#This Row],[Importo]]=Tabella1[[#This Row],[Saldato]],"SI","NO")</f>
        <v>SI</v>
      </c>
      <c r="I41" s="8">
        <v>40</v>
      </c>
    </row>
    <row r="42" spans="1:9" x14ac:dyDescent="0.3">
      <c r="A42" s="4">
        <v>41</v>
      </c>
      <c r="B42" s="5">
        <v>45092</v>
      </c>
      <c r="C42" s="5" t="s">
        <v>23</v>
      </c>
      <c r="D42" s="5" t="s">
        <v>9</v>
      </c>
      <c r="E42" s="5" t="s">
        <v>10</v>
      </c>
      <c r="F42" s="7">
        <v>85.5</v>
      </c>
      <c r="G42" s="7">
        <v>85.5</v>
      </c>
      <c r="H42" s="5" t="str">
        <f>IF(Tabella1[[#This Row],[Importo]]=Tabella1[[#This Row],[Saldato]],"SI","NO")</f>
        <v>SI</v>
      </c>
      <c r="I42" s="8">
        <v>35</v>
      </c>
    </row>
    <row r="43" spans="1:9" x14ac:dyDescent="0.3">
      <c r="A43" s="4">
        <v>42</v>
      </c>
      <c r="B43" s="5">
        <v>45083</v>
      </c>
      <c r="C43" s="5" t="s">
        <v>24</v>
      </c>
      <c r="D43" s="5" t="s">
        <v>31</v>
      </c>
      <c r="E43" s="5" t="s">
        <v>17</v>
      </c>
      <c r="F43" s="7">
        <v>223.5</v>
      </c>
      <c r="G43" s="7">
        <v>223.5</v>
      </c>
      <c r="H43" s="5" t="str">
        <f>IF(Tabella1[[#This Row],[Importo]]=Tabella1[[#This Row],[Saldato]],"SI","NO")</f>
        <v>SI</v>
      </c>
      <c r="I43" s="8"/>
    </row>
    <row r="44" spans="1:9" x14ac:dyDescent="0.3">
      <c r="A44" s="4">
        <v>43</v>
      </c>
      <c r="B44" s="5">
        <v>45106</v>
      </c>
      <c r="C44" s="5" t="s">
        <v>23</v>
      </c>
      <c r="D44" s="5" t="s">
        <v>15</v>
      </c>
      <c r="E44" s="6" t="s">
        <v>16</v>
      </c>
      <c r="F44" s="7">
        <v>720</v>
      </c>
      <c r="G44" s="7">
        <v>720</v>
      </c>
      <c r="H44" s="5" t="str">
        <f>IF(Tabella1[[#This Row],[Importo]]=Tabella1[[#This Row],[Saldato]],"SI","NO")</f>
        <v>SI</v>
      </c>
      <c r="I44" s="8">
        <v>60</v>
      </c>
    </row>
    <row r="45" spans="1:9" x14ac:dyDescent="0.3">
      <c r="A45" s="4">
        <v>44</v>
      </c>
      <c r="B45" s="5">
        <v>45106</v>
      </c>
      <c r="C45" s="5" t="s">
        <v>23</v>
      </c>
      <c r="D45" s="5" t="s">
        <v>15</v>
      </c>
      <c r="E45" s="5" t="s">
        <v>13</v>
      </c>
      <c r="F45" s="7">
        <v>180</v>
      </c>
      <c r="G45" s="7">
        <v>180</v>
      </c>
      <c r="H45" s="5" t="str">
        <f>IF(Tabella1[[#This Row],[Importo]]=Tabella1[[#This Row],[Saldato]],"SI","NO")</f>
        <v>SI</v>
      </c>
      <c r="I45" s="8">
        <v>50</v>
      </c>
    </row>
    <row r="46" spans="1:9" x14ac:dyDescent="0.3">
      <c r="A46" s="4">
        <v>45</v>
      </c>
      <c r="B46" s="5">
        <v>45085</v>
      </c>
      <c r="C46" s="5" t="s">
        <v>24</v>
      </c>
      <c r="D46" s="5" t="s">
        <v>30</v>
      </c>
      <c r="E46" s="5" t="s">
        <v>28</v>
      </c>
      <c r="F46" s="7">
        <v>343.72800000000001</v>
      </c>
      <c r="G46" s="7">
        <v>343.72800000000001</v>
      </c>
      <c r="H46" s="5" t="str">
        <f>IF(Tabella1[[#This Row],[Importo]]=Tabella1[[#This Row],[Saldato]],"SI","NO")</f>
        <v>SI</v>
      </c>
      <c r="I46" s="8"/>
    </row>
    <row r="47" spans="1:9" x14ac:dyDescent="0.3">
      <c r="A47" s="4">
        <v>46</v>
      </c>
      <c r="B47" s="5">
        <v>45095</v>
      </c>
      <c r="C47" s="5" t="s">
        <v>24</v>
      </c>
      <c r="D47" s="5" t="s">
        <v>30</v>
      </c>
      <c r="E47" s="5" t="s">
        <v>11</v>
      </c>
      <c r="F47" s="7">
        <v>10.751999999999999</v>
      </c>
      <c r="G47" s="7">
        <v>10.751999999999999</v>
      </c>
      <c r="H47" s="5" t="str">
        <f>IF(Tabella1[[#This Row],[Importo]]=Tabella1[[#This Row],[Saldato]],"SI","NO")</f>
        <v>SI</v>
      </c>
      <c r="I47" s="8"/>
    </row>
    <row r="48" spans="1:9" x14ac:dyDescent="0.3">
      <c r="A48" s="4">
        <v>47</v>
      </c>
      <c r="B48" s="5">
        <v>45115</v>
      </c>
      <c r="C48" s="5" t="s">
        <v>24</v>
      </c>
      <c r="D48" s="5" t="s">
        <v>30</v>
      </c>
      <c r="E48" s="5" t="s">
        <v>28</v>
      </c>
      <c r="F48" s="7">
        <v>315.14400000000001</v>
      </c>
      <c r="G48" s="7">
        <v>315.14400000000001</v>
      </c>
      <c r="H48" s="5" t="str">
        <f>IF(Tabella1[[#This Row],[Importo]]=Tabella1[[#This Row],[Saldato]],"SI","NO")</f>
        <v>SI</v>
      </c>
      <c r="I48" s="8"/>
    </row>
    <row r="49" spans="1:9" x14ac:dyDescent="0.3">
      <c r="A49" s="4">
        <v>48</v>
      </c>
      <c r="B49" s="5">
        <v>45110</v>
      </c>
      <c r="C49" s="5" t="s">
        <v>23</v>
      </c>
      <c r="D49" s="5" t="s">
        <v>15</v>
      </c>
      <c r="E49" s="5" t="s">
        <v>16</v>
      </c>
      <c r="F49" s="7">
        <v>204</v>
      </c>
      <c r="G49" s="7">
        <v>204</v>
      </c>
      <c r="H49" s="5" t="str">
        <f>IF(Tabella1[[#This Row],[Importo]]=Tabella1[[#This Row],[Saldato]],"SI","NO")</f>
        <v>SI</v>
      </c>
      <c r="I49" s="8">
        <v>40</v>
      </c>
    </row>
    <row r="50" spans="1:9" x14ac:dyDescent="0.3">
      <c r="A50" s="4">
        <v>49</v>
      </c>
      <c r="B50" s="5">
        <v>45138</v>
      </c>
      <c r="C50" s="5" t="s">
        <v>23</v>
      </c>
      <c r="D50" s="5" t="s">
        <v>15</v>
      </c>
      <c r="E50" s="6" t="s">
        <v>18</v>
      </c>
      <c r="F50" s="7">
        <v>2560</v>
      </c>
      <c r="G50" s="7">
        <v>2560</v>
      </c>
      <c r="H50" s="5" t="str">
        <f>IF(Tabella1[[#This Row],[Importo]]=Tabella1[[#This Row],[Saldato]],"SI","NO")</f>
        <v>SI</v>
      </c>
      <c r="I50" s="8">
        <v>50</v>
      </c>
    </row>
    <row r="51" spans="1:9" x14ac:dyDescent="0.3">
      <c r="A51" s="4">
        <v>50</v>
      </c>
      <c r="B51" s="5">
        <v>45116</v>
      </c>
      <c r="C51" s="5" t="s">
        <v>23</v>
      </c>
      <c r="D51" s="5" t="s">
        <v>25</v>
      </c>
      <c r="E51" s="6" t="s">
        <v>26</v>
      </c>
      <c r="F51" s="7">
        <v>210</v>
      </c>
      <c r="G51" s="7">
        <v>210</v>
      </c>
      <c r="H51" s="5" t="str">
        <f>IF(Tabella1[[#This Row],[Importo]]=Tabella1[[#This Row],[Saldato]],"SI","NO")</f>
        <v>SI</v>
      </c>
      <c r="I51" s="8">
        <v>30</v>
      </c>
    </row>
    <row r="52" spans="1:9" x14ac:dyDescent="0.3">
      <c r="A52" s="4">
        <v>51</v>
      </c>
      <c r="B52" s="5">
        <v>45116</v>
      </c>
      <c r="C52" s="5" t="s">
        <v>23</v>
      </c>
      <c r="D52" s="5" t="s">
        <v>15</v>
      </c>
      <c r="E52" s="5" t="s">
        <v>16</v>
      </c>
      <c r="F52" s="7">
        <v>168</v>
      </c>
      <c r="G52" s="7">
        <v>168</v>
      </c>
      <c r="H52" s="5" t="str">
        <f>IF(Tabella1[[#This Row],[Importo]]=Tabella1[[#This Row],[Saldato]],"SI","NO")</f>
        <v>SI</v>
      </c>
      <c r="I52" s="8">
        <v>40</v>
      </c>
    </row>
    <row r="53" spans="1:9" x14ac:dyDescent="0.3">
      <c r="A53" s="4">
        <v>52</v>
      </c>
      <c r="B53" s="5">
        <v>45113</v>
      </c>
      <c r="C53" s="5" t="s">
        <v>24</v>
      </c>
      <c r="D53" s="5" t="s">
        <v>31</v>
      </c>
      <c r="E53" s="5" t="s">
        <v>17</v>
      </c>
      <c r="F53" s="7">
        <v>119.2</v>
      </c>
      <c r="G53" s="7">
        <v>119.2</v>
      </c>
      <c r="H53" s="5" t="str">
        <f>IF(Tabella1[[#This Row],[Importo]]=Tabella1[[#This Row],[Saldato]],"SI","NO")</f>
        <v>SI</v>
      </c>
      <c r="I53" s="8"/>
    </row>
    <row r="54" spans="1:9" x14ac:dyDescent="0.3">
      <c r="A54" s="4">
        <v>53</v>
      </c>
      <c r="B54" s="5">
        <v>45123</v>
      </c>
      <c r="C54" s="5" t="s">
        <v>23</v>
      </c>
      <c r="D54" s="5" t="s">
        <v>15</v>
      </c>
      <c r="E54" s="5" t="s">
        <v>16</v>
      </c>
      <c r="F54" s="7">
        <v>324</v>
      </c>
      <c r="G54" s="7">
        <v>324</v>
      </c>
      <c r="H54" s="5" t="str">
        <f>IF(Tabella1[[#This Row],[Importo]]=Tabella1[[#This Row],[Saldato]],"SI","NO")</f>
        <v>SI</v>
      </c>
      <c r="I54" s="8">
        <v>40</v>
      </c>
    </row>
    <row r="55" spans="1:9" x14ac:dyDescent="0.3">
      <c r="A55" s="4">
        <v>54</v>
      </c>
      <c r="B55" s="5">
        <v>45132</v>
      </c>
      <c r="C55" s="5" t="s">
        <v>24</v>
      </c>
      <c r="D55" s="5" t="s">
        <v>32</v>
      </c>
      <c r="E55" s="5" t="s">
        <v>17</v>
      </c>
      <c r="F55" s="7">
        <v>193.70000000000002</v>
      </c>
      <c r="G55" s="7">
        <v>193.70000000000002</v>
      </c>
      <c r="H55" s="5" t="str">
        <f>IF(Tabella1[[#This Row],[Importo]]=Tabella1[[#This Row],[Saldato]],"SI","NO")</f>
        <v>SI</v>
      </c>
      <c r="I55" s="8"/>
    </row>
    <row r="56" spans="1:9" x14ac:dyDescent="0.3">
      <c r="A56" s="4">
        <v>55</v>
      </c>
      <c r="B56" s="5">
        <v>45136</v>
      </c>
      <c r="C56" s="5" t="s">
        <v>24</v>
      </c>
      <c r="D56" s="5" t="s">
        <v>31</v>
      </c>
      <c r="E56" s="5" t="s">
        <v>13</v>
      </c>
      <c r="F56" s="7">
        <v>37.700000000000003</v>
      </c>
      <c r="G56" s="7">
        <v>37.700000000000003</v>
      </c>
      <c r="H56" s="5" t="str">
        <f>IF(Tabella1[[#This Row],[Importo]]=Tabella1[[#This Row],[Saldato]],"SI","NO")</f>
        <v>SI</v>
      </c>
      <c r="I56" s="8"/>
    </row>
    <row r="57" spans="1:9" x14ac:dyDescent="0.3">
      <c r="A57" s="4">
        <v>56</v>
      </c>
      <c r="B57" s="5">
        <v>45138</v>
      </c>
      <c r="C57" s="5" t="s">
        <v>24</v>
      </c>
      <c r="D57" s="6" t="s">
        <v>12</v>
      </c>
      <c r="E57" s="5" t="s">
        <v>13</v>
      </c>
      <c r="F57" s="7">
        <v>1.2629999999999999</v>
      </c>
      <c r="G57" s="7">
        <v>1.2629999999999999</v>
      </c>
      <c r="H57" s="5" t="str">
        <f>IF(Tabella1[[#This Row],[Importo]]=Tabella1[[#This Row],[Saldato]],"SI","NO")</f>
        <v>SI</v>
      </c>
      <c r="I57" s="8"/>
    </row>
    <row r="58" spans="1:9" x14ac:dyDescent="0.3">
      <c r="A58" s="4">
        <v>57</v>
      </c>
      <c r="B58" s="5">
        <v>45138</v>
      </c>
      <c r="C58" s="5" t="s">
        <v>23</v>
      </c>
      <c r="D58" s="5" t="s">
        <v>15</v>
      </c>
      <c r="E58" s="5" t="s">
        <v>16</v>
      </c>
      <c r="F58" s="7">
        <v>128</v>
      </c>
      <c r="G58" s="7">
        <v>128</v>
      </c>
      <c r="H58" s="5" t="str">
        <f>IF(Tabella1[[#This Row],[Importo]]=Tabella1[[#This Row],[Saldato]],"SI","NO")</f>
        <v>SI</v>
      </c>
      <c r="I58" s="8">
        <v>40</v>
      </c>
    </row>
    <row r="59" spans="1:9" x14ac:dyDescent="0.3">
      <c r="A59" s="4">
        <v>58</v>
      </c>
      <c r="B59" s="5">
        <v>45143</v>
      </c>
      <c r="C59" s="5" t="s">
        <v>24</v>
      </c>
      <c r="D59" s="5" t="s">
        <v>30</v>
      </c>
      <c r="E59" s="5" t="s">
        <v>28</v>
      </c>
      <c r="F59" s="7">
        <v>338.41500000000002</v>
      </c>
      <c r="G59" s="7">
        <v>338.41500000000002</v>
      </c>
      <c r="H59" s="5" t="str">
        <f>IF(Tabella1[[#This Row],[Importo]]=Tabella1[[#This Row],[Saldato]],"SI","NO")</f>
        <v>SI</v>
      </c>
      <c r="I59" s="8"/>
    </row>
    <row r="60" spans="1:9" x14ac:dyDescent="0.3">
      <c r="A60" s="4">
        <v>59</v>
      </c>
      <c r="B60" s="5">
        <v>45152</v>
      </c>
      <c r="C60" s="5" t="s">
        <v>24</v>
      </c>
      <c r="D60" s="5" t="s">
        <v>31</v>
      </c>
      <c r="E60" s="6" t="s">
        <v>19</v>
      </c>
      <c r="F60" s="7">
        <v>17.100000000000001</v>
      </c>
      <c r="G60" s="7">
        <v>17.100000000000001</v>
      </c>
      <c r="H60" s="5" t="str">
        <f>IF(Tabella1[[#This Row],[Importo]]=Tabella1[[#This Row],[Saldato]],"SI","NO")</f>
        <v>SI</v>
      </c>
      <c r="I60" s="8"/>
    </row>
    <row r="61" spans="1:9" x14ac:dyDescent="0.3">
      <c r="A61" s="4">
        <v>60</v>
      </c>
      <c r="B61" s="5">
        <v>45163</v>
      </c>
      <c r="C61" s="5" t="s">
        <v>23</v>
      </c>
      <c r="D61" s="5" t="s">
        <v>15</v>
      </c>
      <c r="E61" s="5" t="s">
        <v>10</v>
      </c>
      <c r="F61" s="7">
        <v>85.5</v>
      </c>
      <c r="G61" s="7">
        <v>85.5</v>
      </c>
      <c r="H61" s="5" t="str">
        <f>IF(Tabella1[[#This Row],[Importo]]=Tabella1[[#This Row],[Saldato]],"SI","NO")</f>
        <v>SI</v>
      </c>
      <c r="I61" s="7">
        <v>45</v>
      </c>
    </row>
    <row r="62" spans="1:9" x14ac:dyDescent="0.3">
      <c r="A62" s="4">
        <v>61</v>
      </c>
      <c r="B62" s="5">
        <v>45160</v>
      </c>
      <c r="C62" s="5" t="s">
        <v>23</v>
      </c>
      <c r="D62" s="5" t="s">
        <v>15</v>
      </c>
      <c r="E62" s="5" t="s">
        <v>10</v>
      </c>
      <c r="F62" s="7">
        <v>22.5</v>
      </c>
      <c r="G62" s="7">
        <v>22.5</v>
      </c>
      <c r="H62" s="5" t="str">
        <f>IF(Tabella1[[#This Row],[Importo]]=Tabella1[[#This Row],[Saldato]],"SI","NO")</f>
        <v>SI</v>
      </c>
      <c r="I62" s="7">
        <v>45</v>
      </c>
    </row>
    <row r="63" spans="1:9" x14ac:dyDescent="0.3">
      <c r="A63" s="4">
        <v>62</v>
      </c>
      <c r="B63" s="5">
        <v>45160</v>
      </c>
      <c r="C63" s="5" t="s">
        <v>23</v>
      </c>
      <c r="D63" s="5" t="s">
        <v>15</v>
      </c>
      <c r="E63" s="5" t="s">
        <v>16</v>
      </c>
      <c r="F63" s="7">
        <v>112</v>
      </c>
      <c r="G63" s="7">
        <v>112</v>
      </c>
      <c r="H63" s="5" t="str">
        <f>IF(Tabella1[[#This Row],[Importo]]=Tabella1[[#This Row],[Saldato]],"SI","NO")</f>
        <v>SI</v>
      </c>
      <c r="I63" s="8">
        <v>40</v>
      </c>
    </row>
    <row r="64" spans="1:9" x14ac:dyDescent="0.3">
      <c r="A64" s="4">
        <v>63</v>
      </c>
      <c r="B64" s="5">
        <v>45167</v>
      </c>
      <c r="C64" s="5" t="s">
        <v>24</v>
      </c>
      <c r="D64" s="5" t="s">
        <v>32</v>
      </c>
      <c r="E64" s="5" t="s">
        <v>13</v>
      </c>
      <c r="F64" s="7">
        <v>11.600000000000001</v>
      </c>
      <c r="G64" s="7">
        <v>11.600000000000001</v>
      </c>
      <c r="H64" s="5" t="str">
        <f>IF(Tabella1[[#This Row],[Importo]]=Tabella1[[#This Row],[Saldato]],"SI","NO")</f>
        <v>SI</v>
      </c>
      <c r="I64" s="8"/>
    </row>
    <row r="65" spans="1:9" x14ac:dyDescent="0.3">
      <c r="A65" s="4">
        <v>64</v>
      </c>
      <c r="B65" s="5">
        <v>45139</v>
      </c>
      <c r="C65" s="5" t="s">
        <v>24</v>
      </c>
      <c r="D65" s="5" t="s">
        <v>31</v>
      </c>
      <c r="E65" s="5" t="s">
        <v>13</v>
      </c>
      <c r="F65" s="7">
        <v>34.799999999999997</v>
      </c>
      <c r="G65" s="7">
        <v>34.799999999999997</v>
      </c>
      <c r="H65" s="5" t="str">
        <f>IF(Tabella1[[#This Row],[Importo]]=Tabella1[[#This Row],[Saldato]],"SI","NO")</f>
        <v>SI</v>
      </c>
      <c r="I65" s="8"/>
    </row>
    <row r="66" spans="1:9" x14ac:dyDescent="0.3">
      <c r="A66" s="4">
        <v>65</v>
      </c>
      <c r="B66" s="5">
        <v>45149</v>
      </c>
      <c r="C66" s="5" t="s">
        <v>23</v>
      </c>
      <c r="D66" s="5" t="s">
        <v>15</v>
      </c>
      <c r="E66" s="5" t="s">
        <v>10</v>
      </c>
      <c r="F66" s="7">
        <v>336</v>
      </c>
      <c r="G66" s="7" t="s">
        <v>29</v>
      </c>
      <c r="H66" s="5" t="str">
        <f>IF(Tabella1[[#This Row],[Importo]]=Tabella1[[#This Row],[Saldato]],"SI","NO")</f>
        <v>NO</v>
      </c>
      <c r="I66" s="8">
        <v>60</v>
      </c>
    </row>
    <row r="67" spans="1:9" x14ac:dyDescent="0.3">
      <c r="A67" s="4">
        <v>66</v>
      </c>
      <c r="B67" s="5">
        <v>45143</v>
      </c>
      <c r="C67" s="5" t="s">
        <v>23</v>
      </c>
      <c r="D67" s="5" t="s">
        <v>15</v>
      </c>
      <c r="E67" s="5" t="s">
        <v>16</v>
      </c>
      <c r="F67" s="7">
        <v>220.00000000000003</v>
      </c>
      <c r="G67" s="7">
        <v>220.00000000000003</v>
      </c>
      <c r="H67" s="5" t="str">
        <f>IF(Tabella1[[#This Row],[Importo]]=Tabella1[[#This Row],[Saldato]],"SI","NO")</f>
        <v>SI</v>
      </c>
      <c r="I67" s="8">
        <v>40</v>
      </c>
    </row>
    <row r="68" spans="1:9" x14ac:dyDescent="0.3">
      <c r="A68" s="4">
        <v>67</v>
      </c>
      <c r="B68" s="5">
        <v>45167</v>
      </c>
      <c r="C68" s="5" t="s">
        <v>24</v>
      </c>
      <c r="D68" s="6" t="s">
        <v>12</v>
      </c>
      <c r="E68" s="5" t="s">
        <v>13</v>
      </c>
      <c r="F68" s="7">
        <v>18.36</v>
      </c>
      <c r="G68" s="7">
        <v>18.36</v>
      </c>
      <c r="H68" s="5" t="str">
        <f>IF(Tabella1[[#This Row],[Importo]]=Tabella1[[#This Row],[Saldato]],"SI","NO")</f>
        <v>SI</v>
      </c>
      <c r="I68" s="8"/>
    </row>
    <row r="69" spans="1:9" x14ac:dyDescent="0.3">
      <c r="A69" s="4">
        <v>68</v>
      </c>
      <c r="B69" s="5">
        <v>45174</v>
      </c>
      <c r="C69" s="5" t="s">
        <v>23</v>
      </c>
      <c r="D69" s="5" t="s">
        <v>15</v>
      </c>
      <c r="E69" s="5" t="s">
        <v>16</v>
      </c>
      <c r="F69" s="7">
        <v>30</v>
      </c>
      <c r="G69" s="7">
        <v>30</v>
      </c>
      <c r="H69" s="5" t="str">
        <f>IF(Tabella1[[#This Row],[Importo]]=Tabella1[[#This Row],[Saldato]],"SI","NO")</f>
        <v>SI</v>
      </c>
      <c r="I69" s="8">
        <v>40</v>
      </c>
    </row>
    <row r="70" spans="1:9" x14ac:dyDescent="0.3">
      <c r="A70" s="4">
        <v>69</v>
      </c>
      <c r="B70" s="5">
        <v>45172</v>
      </c>
      <c r="C70" s="5" t="s">
        <v>23</v>
      </c>
      <c r="D70" s="5" t="s">
        <v>15</v>
      </c>
      <c r="E70" s="5" t="s">
        <v>20</v>
      </c>
      <c r="F70" s="7">
        <v>1443.6000000000001</v>
      </c>
      <c r="G70" s="7">
        <v>1443.6000000000001</v>
      </c>
      <c r="H70" s="5" t="str">
        <f>IF(Tabella1[[#This Row],[Importo]]=Tabella1[[#This Row],[Saldato]],"SI","NO")</f>
        <v>SI</v>
      </c>
      <c r="I70" s="8">
        <v>50</v>
      </c>
    </row>
    <row r="71" spans="1:9" x14ac:dyDescent="0.3">
      <c r="A71" s="4">
        <v>70</v>
      </c>
      <c r="B71" s="5">
        <v>45177</v>
      </c>
      <c r="C71" s="5" t="s">
        <v>24</v>
      </c>
      <c r="D71" s="5" t="s">
        <v>30</v>
      </c>
      <c r="E71" s="5" t="s">
        <v>28</v>
      </c>
      <c r="F71" s="7">
        <v>251.32</v>
      </c>
      <c r="G71" s="7">
        <v>251.32</v>
      </c>
      <c r="H71" s="5" t="str">
        <f>IF(Tabella1[[#This Row],[Importo]]=Tabella1[[#This Row],[Saldato]],"SI","NO")</f>
        <v>SI</v>
      </c>
      <c r="I71" s="8"/>
    </row>
    <row r="72" spans="1:9" x14ac:dyDescent="0.3">
      <c r="A72" s="4">
        <v>71</v>
      </c>
      <c r="B72" s="5">
        <v>45174</v>
      </c>
      <c r="C72" s="5" t="s">
        <v>24</v>
      </c>
      <c r="D72" s="5" t="s">
        <v>32</v>
      </c>
      <c r="E72" s="6" t="s">
        <v>19</v>
      </c>
      <c r="F72" s="7">
        <v>36.1</v>
      </c>
      <c r="G72" s="7">
        <v>36.1</v>
      </c>
      <c r="H72" s="5" t="str">
        <f>IF(Tabella1[[#This Row],[Importo]]=Tabella1[[#This Row],[Saldato]],"SI","NO")</f>
        <v>SI</v>
      </c>
      <c r="I72" s="8"/>
    </row>
    <row r="73" spans="1:9" x14ac:dyDescent="0.3">
      <c r="A73" s="4">
        <v>72</v>
      </c>
      <c r="B73" s="5">
        <v>45171</v>
      </c>
      <c r="C73" s="5" t="s">
        <v>23</v>
      </c>
      <c r="D73" s="5" t="s">
        <v>25</v>
      </c>
      <c r="E73" s="5" t="s">
        <v>27</v>
      </c>
      <c r="F73" s="7">
        <v>150</v>
      </c>
      <c r="G73" s="7">
        <v>150</v>
      </c>
      <c r="H73" s="5" t="str">
        <f>IF(Tabella1[[#This Row],[Importo]]=Tabella1[[#This Row],[Saldato]],"SI","NO")</f>
        <v>SI</v>
      </c>
      <c r="I73" s="8">
        <v>25</v>
      </c>
    </row>
    <row r="74" spans="1:9" x14ac:dyDescent="0.3">
      <c r="A74" s="4">
        <v>73</v>
      </c>
      <c r="B74" s="5">
        <v>45183</v>
      </c>
      <c r="C74" s="5" t="s">
        <v>23</v>
      </c>
      <c r="D74" s="5" t="s">
        <v>25</v>
      </c>
      <c r="E74" s="5" t="s">
        <v>27</v>
      </c>
      <c r="F74" s="7">
        <v>7.5</v>
      </c>
      <c r="G74" s="7">
        <v>7.5</v>
      </c>
      <c r="H74" s="5" t="str">
        <f>IF(Tabella1[[#This Row],[Importo]]=Tabella1[[#This Row],[Saldato]],"SI","NO")</f>
        <v>SI</v>
      </c>
      <c r="I74" s="8">
        <v>25</v>
      </c>
    </row>
    <row r="75" spans="1:9" x14ac:dyDescent="0.3">
      <c r="A75" s="4">
        <v>74</v>
      </c>
      <c r="B75" s="5">
        <v>45172</v>
      </c>
      <c r="C75" s="5" t="s">
        <v>23</v>
      </c>
      <c r="D75" s="5" t="s">
        <v>25</v>
      </c>
      <c r="E75" s="5" t="s">
        <v>27</v>
      </c>
      <c r="F75" s="7">
        <v>142.5</v>
      </c>
      <c r="G75" s="7">
        <v>142.5</v>
      </c>
      <c r="H75" s="5" t="str">
        <f>IF(Tabella1[[#This Row],[Importo]]=Tabella1[[#This Row],[Saldato]],"SI","NO")</f>
        <v>SI</v>
      </c>
      <c r="I75" s="8">
        <v>30</v>
      </c>
    </row>
    <row r="76" spans="1:9" x14ac:dyDescent="0.3">
      <c r="A76" s="4">
        <v>75</v>
      </c>
      <c r="B76" s="5">
        <v>45180</v>
      </c>
      <c r="C76" s="5" t="s">
        <v>23</v>
      </c>
      <c r="D76" s="5" t="s">
        <v>15</v>
      </c>
      <c r="E76" s="5" t="s">
        <v>10</v>
      </c>
      <c r="F76" s="7">
        <v>540</v>
      </c>
      <c r="G76" s="7" t="s">
        <v>29</v>
      </c>
      <c r="H76" s="5" t="str">
        <f>IF(Tabella1[[#This Row],[Importo]]=Tabella1[[#This Row],[Saldato]],"SI","NO")</f>
        <v>NO</v>
      </c>
      <c r="I76" s="8">
        <v>60</v>
      </c>
    </row>
    <row r="77" spans="1:9" x14ac:dyDescent="0.3">
      <c r="A77" s="4">
        <v>76</v>
      </c>
      <c r="B77" s="5">
        <v>45187</v>
      </c>
      <c r="C77" s="5" t="s">
        <v>24</v>
      </c>
      <c r="D77" s="5" t="s">
        <v>31</v>
      </c>
      <c r="E77" s="5" t="s">
        <v>14</v>
      </c>
      <c r="F77" s="7">
        <v>20.900000000000002</v>
      </c>
      <c r="G77" s="7">
        <v>20.900000000000002</v>
      </c>
      <c r="H77" s="5" t="str">
        <f>IF(Tabella1[[#This Row],[Importo]]=Tabella1[[#This Row],[Saldato]],"SI","NO")</f>
        <v>SI</v>
      </c>
      <c r="I77" s="8"/>
    </row>
    <row r="78" spans="1:9" x14ac:dyDescent="0.3">
      <c r="A78" s="4">
        <v>77</v>
      </c>
      <c r="B78" s="5">
        <v>45172</v>
      </c>
      <c r="C78" s="5" t="s">
        <v>23</v>
      </c>
      <c r="D78" s="5" t="s">
        <v>25</v>
      </c>
      <c r="E78" s="5" t="s">
        <v>27</v>
      </c>
      <c r="F78" s="7">
        <v>100</v>
      </c>
      <c r="G78" s="7">
        <v>100</v>
      </c>
      <c r="H78" s="5" t="str">
        <f>IF(Tabella1[[#This Row],[Importo]]=Tabella1[[#This Row],[Saldato]],"SI","NO")</f>
        <v>SI</v>
      </c>
      <c r="I78" s="8">
        <v>25</v>
      </c>
    </row>
    <row r="79" spans="1:9" x14ac:dyDescent="0.3">
      <c r="A79" s="4">
        <v>78</v>
      </c>
      <c r="B79" s="5">
        <v>45190</v>
      </c>
      <c r="C79" s="5" t="s">
        <v>23</v>
      </c>
      <c r="D79" s="5" t="s">
        <v>25</v>
      </c>
      <c r="E79" s="6" t="s">
        <v>26</v>
      </c>
      <c r="F79" s="7">
        <v>72.86999999999999</v>
      </c>
      <c r="G79" s="7">
        <v>72.86999999999999</v>
      </c>
      <c r="H79" s="5" t="str">
        <f>IF(Tabella1[[#This Row],[Importo]]=Tabella1[[#This Row],[Saldato]],"SI","NO")</f>
        <v>SI</v>
      </c>
      <c r="I79" s="8">
        <v>35</v>
      </c>
    </row>
    <row r="80" spans="1:9" x14ac:dyDescent="0.3">
      <c r="A80" s="4">
        <v>79</v>
      </c>
      <c r="B80" s="5">
        <v>45192</v>
      </c>
      <c r="C80" s="5" t="s">
        <v>24</v>
      </c>
      <c r="D80" s="5" t="s">
        <v>32</v>
      </c>
      <c r="E80" s="5" t="s">
        <v>17</v>
      </c>
      <c r="F80" s="7">
        <v>44.699999999999996</v>
      </c>
      <c r="G80" s="7">
        <v>44.699999999999996</v>
      </c>
      <c r="H80" s="5" t="str">
        <f>IF(Tabella1[[#This Row],[Importo]]=Tabella1[[#This Row],[Saldato]],"SI","NO")</f>
        <v>SI</v>
      </c>
      <c r="I80" s="8"/>
    </row>
    <row r="81" spans="1:9" x14ac:dyDescent="0.3">
      <c r="A81" s="4">
        <v>80</v>
      </c>
      <c r="B81" s="5">
        <v>45170</v>
      </c>
      <c r="C81" s="5" t="s">
        <v>23</v>
      </c>
      <c r="D81" s="5" t="s">
        <v>25</v>
      </c>
      <c r="E81" s="5" t="s">
        <v>27</v>
      </c>
      <c r="F81" s="7">
        <v>20</v>
      </c>
      <c r="G81" s="7">
        <v>20</v>
      </c>
      <c r="H81" s="5" t="str">
        <f>IF(Tabella1[[#This Row],[Importo]]=Tabella1[[#This Row],[Saldato]],"SI","NO")</f>
        <v>SI</v>
      </c>
      <c r="I81" s="8">
        <v>25</v>
      </c>
    </row>
    <row r="82" spans="1:9" x14ac:dyDescent="0.3">
      <c r="A82" s="4">
        <v>81</v>
      </c>
      <c r="B82" s="5">
        <v>45170</v>
      </c>
      <c r="C82" s="5" t="s">
        <v>23</v>
      </c>
      <c r="D82" s="5" t="s">
        <v>15</v>
      </c>
      <c r="E82" s="5" t="s">
        <v>10</v>
      </c>
      <c r="F82" s="7">
        <v>78</v>
      </c>
      <c r="G82" s="7">
        <v>78</v>
      </c>
      <c r="H82" s="5" t="str">
        <f>IF(Tabella1[[#This Row],[Importo]]=Tabella1[[#This Row],[Saldato]],"SI","NO")</f>
        <v>SI</v>
      </c>
      <c r="I82" s="7">
        <v>45</v>
      </c>
    </row>
    <row r="83" spans="1:9" x14ac:dyDescent="0.3">
      <c r="A83" s="4">
        <v>82</v>
      </c>
      <c r="B83" s="5">
        <v>45170</v>
      </c>
      <c r="C83" s="5" t="s">
        <v>24</v>
      </c>
      <c r="D83" s="6" t="s">
        <v>12</v>
      </c>
      <c r="E83" s="5" t="s">
        <v>13</v>
      </c>
      <c r="F83" s="7">
        <v>10.014000000000001</v>
      </c>
      <c r="G83" s="7">
        <v>10.014000000000001</v>
      </c>
      <c r="H83" s="5" t="str">
        <f>IF(Tabella1[[#This Row],[Importo]]=Tabella1[[#This Row],[Saldato]],"SI","NO")</f>
        <v>SI</v>
      </c>
      <c r="I83" s="8"/>
    </row>
    <row r="84" spans="1:9" x14ac:dyDescent="0.3">
      <c r="A84" s="4">
        <v>83</v>
      </c>
      <c r="B84" s="5">
        <v>45172</v>
      </c>
      <c r="C84" s="5" t="s">
        <v>23</v>
      </c>
      <c r="D84" s="5" t="s">
        <v>15</v>
      </c>
      <c r="E84" s="5" t="s">
        <v>16</v>
      </c>
      <c r="F84" s="7">
        <v>170</v>
      </c>
      <c r="G84" s="7">
        <v>170</v>
      </c>
      <c r="H84" s="5" t="str">
        <f>IF(Tabella1[[#This Row],[Importo]]=Tabella1[[#This Row],[Saldato]],"SI","NO")</f>
        <v>SI</v>
      </c>
      <c r="I84" s="8">
        <v>40</v>
      </c>
    </row>
    <row r="85" spans="1:9" x14ac:dyDescent="0.3">
      <c r="A85" s="4">
        <v>84</v>
      </c>
      <c r="B85" s="5">
        <v>45174</v>
      </c>
      <c r="C85" s="5" t="s">
        <v>23</v>
      </c>
      <c r="D85" s="5" t="s">
        <v>15</v>
      </c>
      <c r="E85" s="5" t="s">
        <v>18</v>
      </c>
      <c r="F85" s="7">
        <v>165</v>
      </c>
      <c r="G85" s="7">
        <v>165</v>
      </c>
      <c r="H85" s="5" t="str">
        <f>IF(Tabella1[[#This Row],[Importo]]=Tabella1[[#This Row],[Saldato]],"SI","NO")</f>
        <v>SI</v>
      </c>
      <c r="I85" s="8">
        <v>30</v>
      </c>
    </row>
    <row r="86" spans="1:9" x14ac:dyDescent="0.3">
      <c r="A86" s="4">
        <v>85</v>
      </c>
      <c r="B86" s="5">
        <v>45204</v>
      </c>
      <c r="C86" s="5" t="s">
        <v>23</v>
      </c>
      <c r="D86" s="5" t="s">
        <v>25</v>
      </c>
      <c r="E86" s="5" t="s">
        <v>27</v>
      </c>
      <c r="F86" s="7">
        <v>10</v>
      </c>
      <c r="G86" s="7">
        <v>10</v>
      </c>
      <c r="H86" s="5" t="str">
        <f>IF(Tabella1[[#This Row],[Importo]]=Tabella1[[#This Row],[Saldato]],"SI","NO")</f>
        <v>SI</v>
      </c>
      <c r="I86" s="8">
        <v>25</v>
      </c>
    </row>
    <row r="87" spans="1:9" x14ac:dyDescent="0.3">
      <c r="A87" s="4">
        <v>86</v>
      </c>
      <c r="B87" s="5">
        <v>45200</v>
      </c>
      <c r="C87" s="5" t="s">
        <v>23</v>
      </c>
      <c r="D87" s="5" t="s">
        <v>25</v>
      </c>
      <c r="E87" s="5" t="s">
        <v>27</v>
      </c>
      <c r="F87" s="7">
        <v>72</v>
      </c>
      <c r="G87" s="7">
        <v>72</v>
      </c>
      <c r="H87" s="5" t="str">
        <f>IF(Tabella1[[#This Row],[Importo]]=Tabella1[[#This Row],[Saldato]],"SI","NO")</f>
        <v>SI</v>
      </c>
      <c r="I87" s="8">
        <v>30</v>
      </c>
    </row>
    <row r="88" spans="1:9" x14ac:dyDescent="0.3">
      <c r="A88" s="4">
        <v>87</v>
      </c>
      <c r="B88" s="5">
        <v>45217</v>
      </c>
      <c r="C88" s="5" t="s">
        <v>23</v>
      </c>
      <c r="D88" s="5" t="s">
        <v>25</v>
      </c>
      <c r="E88" s="5" t="s">
        <v>27</v>
      </c>
      <c r="F88" s="7">
        <v>17.5</v>
      </c>
      <c r="G88" s="7">
        <v>17.5</v>
      </c>
      <c r="H88" s="5" t="str">
        <f>IF(Tabella1[[#This Row],[Importo]]=Tabella1[[#This Row],[Saldato]],"SI","NO")</f>
        <v>SI</v>
      </c>
      <c r="I88" s="8">
        <v>25</v>
      </c>
    </row>
    <row r="89" spans="1:9" x14ac:dyDescent="0.3">
      <c r="A89" s="4">
        <v>88</v>
      </c>
      <c r="B89" s="5">
        <v>45219</v>
      </c>
      <c r="C89" s="5" t="s">
        <v>23</v>
      </c>
      <c r="D89" s="5" t="s">
        <v>25</v>
      </c>
      <c r="E89" s="5" t="s">
        <v>27</v>
      </c>
      <c r="F89" s="7">
        <v>86.399999999999991</v>
      </c>
      <c r="G89" s="7">
        <v>86.399999999999991</v>
      </c>
      <c r="H89" s="5" t="str">
        <f>IF(Tabella1[[#This Row],[Importo]]=Tabella1[[#This Row],[Saldato]],"SI","NO")</f>
        <v>SI</v>
      </c>
      <c r="I89" s="8">
        <v>25</v>
      </c>
    </row>
    <row r="90" spans="1:9" x14ac:dyDescent="0.3">
      <c r="A90" s="4">
        <v>89</v>
      </c>
      <c r="B90" s="5">
        <v>45219</v>
      </c>
      <c r="C90" s="5" t="s">
        <v>23</v>
      </c>
      <c r="D90" s="5" t="s">
        <v>25</v>
      </c>
      <c r="E90" s="5" t="s">
        <v>27</v>
      </c>
      <c r="F90" s="7">
        <v>15</v>
      </c>
      <c r="G90" s="7">
        <v>15</v>
      </c>
      <c r="H90" s="5" t="str">
        <f>IF(Tabella1[[#This Row],[Importo]]=Tabella1[[#This Row],[Saldato]],"SI","NO")</f>
        <v>SI</v>
      </c>
      <c r="I90" s="8">
        <v>25</v>
      </c>
    </row>
    <row r="91" spans="1:9" x14ac:dyDescent="0.3">
      <c r="A91" s="4">
        <v>90</v>
      </c>
      <c r="B91" s="5">
        <v>45200</v>
      </c>
      <c r="C91" s="5" t="s">
        <v>23</v>
      </c>
      <c r="D91" s="5" t="s">
        <v>25</v>
      </c>
      <c r="E91" s="5" t="s">
        <v>27</v>
      </c>
      <c r="F91" s="7">
        <v>81.900000000000006</v>
      </c>
      <c r="G91" s="7">
        <v>81.900000000000006</v>
      </c>
      <c r="H91" s="5" t="str">
        <f>IF(Tabella1[[#This Row],[Importo]]=Tabella1[[#This Row],[Saldato]],"SI","NO")</f>
        <v>SI</v>
      </c>
      <c r="I91" s="8">
        <v>25</v>
      </c>
    </row>
    <row r="92" spans="1:9" x14ac:dyDescent="0.3">
      <c r="A92" s="4">
        <v>91</v>
      </c>
      <c r="B92" s="5">
        <v>45200</v>
      </c>
      <c r="C92" s="5" t="s">
        <v>23</v>
      </c>
      <c r="D92" s="5" t="s">
        <v>25</v>
      </c>
      <c r="E92" s="5" t="s">
        <v>27</v>
      </c>
      <c r="F92" s="7">
        <v>22.5</v>
      </c>
      <c r="G92" s="7">
        <v>22.5</v>
      </c>
      <c r="H92" s="5" t="str">
        <f>IF(Tabella1[[#This Row],[Importo]]=Tabella1[[#This Row],[Saldato]],"SI","NO")</f>
        <v>SI</v>
      </c>
      <c r="I92" s="8">
        <v>25</v>
      </c>
    </row>
    <row r="93" spans="1:9" x14ac:dyDescent="0.3">
      <c r="A93" s="4">
        <v>92</v>
      </c>
      <c r="B93" s="5">
        <v>45226</v>
      </c>
      <c r="C93" s="5" t="s">
        <v>23</v>
      </c>
      <c r="D93" s="5" t="s">
        <v>25</v>
      </c>
      <c r="E93" s="5" t="s">
        <v>27</v>
      </c>
      <c r="F93" s="7">
        <v>192</v>
      </c>
      <c r="G93" s="7">
        <v>192</v>
      </c>
      <c r="H93" s="5" t="str">
        <f>IF(Tabella1[[#This Row],[Importo]]=Tabella1[[#This Row],[Saldato]],"SI","NO")</f>
        <v>SI</v>
      </c>
      <c r="I93" s="8">
        <v>30</v>
      </c>
    </row>
    <row r="94" spans="1:9" x14ac:dyDescent="0.3">
      <c r="A94" s="4">
        <v>93</v>
      </c>
      <c r="B94" s="5">
        <v>45200</v>
      </c>
      <c r="C94" s="5" t="s">
        <v>23</v>
      </c>
      <c r="D94" s="5" t="s">
        <v>25</v>
      </c>
      <c r="E94" s="5" t="s">
        <v>27</v>
      </c>
      <c r="F94" s="7">
        <v>270</v>
      </c>
      <c r="G94" s="7" t="s">
        <v>29</v>
      </c>
      <c r="H94" s="5" t="str">
        <f>IF(Tabella1[[#This Row],[Importo]]=Tabella1[[#This Row],[Saldato]],"SI","NO")</f>
        <v>NO</v>
      </c>
      <c r="I94" s="8">
        <v>30</v>
      </c>
    </row>
    <row r="95" spans="1:9" x14ac:dyDescent="0.3">
      <c r="A95" s="4">
        <v>94</v>
      </c>
      <c r="B95" s="5">
        <v>45207</v>
      </c>
      <c r="C95" s="5" t="s">
        <v>24</v>
      </c>
      <c r="D95" s="5" t="s">
        <v>30</v>
      </c>
      <c r="E95" s="5" t="s">
        <v>28</v>
      </c>
      <c r="F95" s="7">
        <v>442.15600000000001</v>
      </c>
      <c r="G95" s="7">
        <v>442.15600000000001</v>
      </c>
      <c r="H95" s="5" t="str">
        <f>IF(Tabella1[[#This Row],[Importo]]=Tabella1[[#This Row],[Saldato]],"SI","NO")</f>
        <v>SI</v>
      </c>
      <c r="I95" s="8"/>
    </row>
    <row r="96" spans="1:9" x14ac:dyDescent="0.3">
      <c r="A96" s="4">
        <v>95</v>
      </c>
      <c r="B96" s="5">
        <v>45216</v>
      </c>
      <c r="C96" s="5" t="s">
        <v>23</v>
      </c>
      <c r="D96" s="5" t="s">
        <v>15</v>
      </c>
      <c r="E96" s="5" t="s">
        <v>16</v>
      </c>
      <c r="F96" s="7">
        <v>140</v>
      </c>
      <c r="G96" s="7">
        <v>140</v>
      </c>
      <c r="H96" s="5" t="str">
        <f>IF(Tabella1[[#This Row],[Importo]]=Tabella1[[#This Row],[Saldato]],"SI","NO")</f>
        <v>SI</v>
      </c>
      <c r="I96" s="8">
        <v>40</v>
      </c>
    </row>
    <row r="97" spans="1:9" x14ac:dyDescent="0.3">
      <c r="A97" s="4">
        <v>96</v>
      </c>
      <c r="B97" s="5">
        <v>45210</v>
      </c>
      <c r="C97" s="5" t="s">
        <v>23</v>
      </c>
      <c r="D97" s="5" t="s">
        <v>15</v>
      </c>
      <c r="E97" s="5" t="s">
        <v>10</v>
      </c>
      <c r="F97" s="7">
        <v>48</v>
      </c>
      <c r="G97" s="7" t="s">
        <v>29</v>
      </c>
      <c r="H97" s="5" t="str">
        <f>IF(Tabella1[[#This Row],[Importo]]=Tabella1[[#This Row],[Saldato]],"SI","NO")</f>
        <v>NO</v>
      </c>
      <c r="I97" s="8">
        <v>60</v>
      </c>
    </row>
    <row r="98" spans="1:9" x14ac:dyDescent="0.3">
      <c r="A98" s="4">
        <v>97</v>
      </c>
      <c r="B98" s="5">
        <v>45213</v>
      </c>
      <c r="C98" s="5" t="s">
        <v>23</v>
      </c>
      <c r="D98" s="5" t="s">
        <v>15</v>
      </c>
      <c r="E98" s="5" t="s">
        <v>13</v>
      </c>
      <c r="F98" s="7">
        <v>143</v>
      </c>
      <c r="G98" s="7">
        <v>143</v>
      </c>
      <c r="H98" s="5" t="str">
        <f>IF(Tabella1[[#This Row],[Importo]]=Tabella1[[#This Row],[Saldato]],"SI","NO")</f>
        <v>SI</v>
      </c>
      <c r="I98" s="8">
        <v>35</v>
      </c>
    </row>
    <row r="99" spans="1:9" x14ac:dyDescent="0.3">
      <c r="A99" s="4">
        <v>98</v>
      </c>
      <c r="B99" s="5">
        <v>45222</v>
      </c>
      <c r="C99" s="5" t="s">
        <v>23</v>
      </c>
      <c r="D99" s="5" t="s">
        <v>15</v>
      </c>
      <c r="E99" s="5" t="s">
        <v>13</v>
      </c>
      <c r="F99" s="7">
        <v>82.5</v>
      </c>
      <c r="G99" s="7">
        <v>82.5</v>
      </c>
      <c r="H99" s="5" t="str">
        <f>IF(Tabella1[[#This Row],[Importo]]=Tabella1[[#This Row],[Saldato]],"SI","NO")</f>
        <v>SI</v>
      </c>
      <c r="I99" s="8">
        <v>35</v>
      </c>
    </row>
    <row r="100" spans="1:9" x14ac:dyDescent="0.3">
      <c r="A100" s="4">
        <v>99</v>
      </c>
      <c r="B100" s="5">
        <v>45213</v>
      </c>
      <c r="C100" s="5" t="s">
        <v>23</v>
      </c>
      <c r="D100" s="5" t="s">
        <v>15</v>
      </c>
      <c r="E100" s="5" t="s">
        <v>14</v>
      </c>
      <c r="F100" s="7">
        <v>256</v>
      </c>
      <c r="G100" s="7" t="s">
        <v>29</v>
      </c>
      <c r="H100" s="5" t="str">
        <f>IF(Tabella1[[#This Row],[Importo]]=Tabella1[[#This Row],[Saldato]],"SI","NO")</f>
        <v>NO</v>
      </c>
      <c r="I100" s="8">
        <v>40</v>
      </c>
    </row>
    <row r="101" spans="1:9" x14ac:dyDescent="0.3">
      <c r="A101" s="4">
        <v>100</v>
      </c>
      <c r="B101" s="5">
        <v>45214</v>
      </c>
      <c r="C101" s="5" t="s">
        <v>24</v>
      </c>
      <c r="D101" s="5" t="s">
        <v>32</v>
      </c>
      <c r="E101" s="5" t="s">
        <v>17</v>
      </c>
      <c r="F101" s="7">
        <v>253.29999999999998</v>
      </c>
      <c r="G101" s="7">
        <v>253.29999999999998</v>
      </c>
      <c r="H101" s="5" t="str">
        <f>IF(Tabella1[[#This Row],[Importo]]=Tabella1[[#This Row],[Saldato]],"SI","NO")</f>
        <v>SI</v>
      </c>
      <c r="I101" s="8"/>
    </row>
    <row r="102" spans="1:9" x14ac:dyDescent="0.3">
      <c r="A102" s="4">
        <v>101</v>
      </c>
      <c r="B102" s="5">
        <v>45222</v>
      </c>
      <c r="C102" s="5" t="s">
        <v>23</v>
      </c>
      <c r="D102" s="5" t="s">
        <v>15</v>
      </c>
      <c r="E102" s="5" t="s">
        <v>10</v>
      </c>
      <c r="F102" s="7">
        <v>67.5</v>
      </c>
      <c r="G102" s="7">
        <v>67.5</v>
      </c>
      <c r="H102" s="5" t="str">
        <f>IF(Tabella1[[#This Row],[Importo]]=Tabella1[[#This Row],[Saldato]],"SI","NO")</f>
        <v>SI</v>
      </c>
      <c r="I102" s="7">
        <v>45</v>
      </c>
    </row>
    <row r="103" spans="1:9" x14ac:dyDescent="0.3">
      <c r="A103" s="4">
        <v>102</v>
      </c>
      <c r="B103" s="5">
        <v>45222</v>
      </c>
      <c r="C103" s="5" t="s">
        <v>24</v>
      </c>
      <c r="D103" s="5" t="s">
        <v>31</v>
      </c>
      <c r="E103" s="5" t="s">
        <v>21</v>
      </c>
      <c r="F103" s="7">
        <v>7.6000000000000005</v>
      </c>
      <c r="G103" s="7">
        <v>7.6000000000000005</v>
      </c>
      <c r="H103" s="5" t="str">
        <f>IF(Tabella1[[#This Row],[Importo]]=Tabella1[[#This Row],[Saldato]],"SI","NO")</f>
        <v>SI</v>
      </c>
      <c r="I103" s="8"/>
    </row>
    <row r="104" spans="1:9" x14ac:dyDescent="0.3">
      <c r="A104" s="4">
        <v>103</v>
      </c>
      <c r="B104" s="5">
        <v>45224</v>
      </c>
      <c r="C104" s="5" t="s">
        <v>23</v>
      </c>
      <c r="D104" s="5" t="s">
        <v>25</v>
      </c>
      <c r="E104" s="5" t="s">
        <v>27</v>
      </c>
      <c r="F104" s="7">
        <v>22.5</v>
      </c>
      <c r="G104" s="7">
        <v>22.5</v>
      </c>
      <c r="H104" s="5" t="str">
        <f>IF(Tabella1[[#This Row],[Importo]]=Tabella1[[#This Row],[Saldato]],"SI","NO")</f>
        <v>SI</v>
      </c>
      <c r="I104" s="8">
        <v>25</v>
      </c>
    </row>
    <row r="105" spans="1:9" x14ac:dyDescent="0.3">
      <c r="A105" s="4">
        <v>104</v>
      </c>
      <c r="B105" s="5">
        <v>45227</v>
      </c>
      <c r="C105" s="5" t="s">
        <v>23</v>
      </c>
      <c r="D105" s="5" t="s">
        <v>25</v>
      </c>
      <c r="E105" s="6" t="s">
        <v>26</v>
      </c>
      <c r="F105" s="7">
        <v>31.5</v>
      </c>
      <c r="G105" s="7">
        <v>31.5</v>
      </c>
      <c r="H105" s="5" t="str">
        <f>IF(Tabella1[[#This Row],[Importo]]=Tabella1[[#This Row],[Saldato]],"SI","NO")</f>
        <v>SI</v>
      </c>
      <c r="I105" s="8">
        <v>35</v>
      </c>
    </row>
    <row r="106" spans="1:9" x14ac:dyDescent="0.3">
      <c r="A106" s="4">
        <v>105</v>
      </c>
      <c r="B106" s="5">
        <v>45228</v>
      </c>
      <c r="C106" s="5" t="s">
        <v>23</v>
      </c>
      <c r="D106" s="5" t="s">
        <v>15</v>
      </c>
      <c r="E106" s="5" t="s">
        <v>10</v>
      </c>
      <c r="F106" s="7">
        <v>60</v>
      </c>
      <c r="G106" s="7">
        <v>60</v>
      </c>
      <c r="H106" s="5" t="str">
        <f>IF(Tabella1[[#This Row],[Importo]]=Tabella1[[#This Row],[Saldato]],"SI","NO")</f>
        <v>SI</v>
      </c>
      <c r="I106" s="7">
        <v>45</v>
      </c>
    </row>
    <row r="107" spans="1:9" x14ac:dyDescent="0.3">
      <c r="A107" s="4">
        <v>106</v>
      </c>
      <c r="B107" s="5">
        <v>45200</v>
      </c>
      <c r="C107" s="5" t="s">
        <v>24</v>
      </c>
      <c r="D107" s="6" t="s">
        <v>12</v>
      </c>
      <c r="E107" s="5" t="s">
        <v>13</v>
      </c>
      <c r="F107" s="7">
        <v>0.255</v>
      </c>
      <c r="G107" s="7">
        <v>0.255</v>
      </c>
      <c r="H107" s="5" t="str">
        <f>IF(Tabella1[[#This Row],[Importo]]=Tabella1[[#This Row],[Saldato]],"SI","NO")</f>
        <v>SI</v>
      </c>
      <c r="I107" s="8"/>
    </row>
    <row r="108" spans="1:9" x14ac:dyDescent="0.3">
      <c r="A108" s="4">
        <v>107</v>
      </c>
      <c r="B108" s="5">
        <v>45208</v>
      </c>
      <c r="C108" s="5" t="s">
        <v>23</v>
      </c>
      <c r="D108" s="5" t="s">
        <v>25</v>
      </c>
      <c r="E108" s="5" t="s">
        <v>27</v>
      </c>
      <c r="F108" s="7">
        <v>210</v>
      </c>
      <c r="G108" s="7">
        <v>210</v>
      </c>
      <c r="H108" s="5" t="str">
        <f>IF(Tabella1[[#This Row],[Importo]]=Tabella1[[#This Row],[Saldato]],"SI","NO")</f>
        <v>SI</v>
      </c>
      <c r="I108" s="8">
        <v>35</v>
      </c>
    </row>
    <row r="109" spans="1:9" x14ac:dyDescent="0.3">
      <c r="A109" s="4">
        <v>108</v>
      </c>
      <c r="B109" s="5">
        <v>45200</v>
      </c>
      <c r="C109" s="5" t="s">
        <v>24</v>
      </c>
      <c r="D109" s="5" t="s">
        <v>31</v>
      </c>
      <c r="E109" s="5" t="s">
        <v>17</v>
      </c>
      <c r="F109" s="7">
        <v>283.09999999999997</v>
      </c>
      <c r="G109" s="7">
        <v>283.09999999999997</v>
      </c>
      <c r="H109" s="5" t="str">
        <f>IF(Tabella1[[#This Row],[Importo]]=Tabella1[[#This Row],[Saldato]],"SI","NO")</f>
        <v>SI</v>
      </c>
      <c r="I109" s="8"/>
    </row>
    <row r="110" spans="1:9" x14ac:dyDescent="0.3">
      <c r="A110" s="4">
        <v>109</v>
      </c>
      <c r="B110" s="5">
        <v>45200</v>
      </c>
      <c r="C110" s="5" t="s">
        <v>23</v>
      </c>
      <c r="D110" s="5" t="s">
        <v>15</v>
      </c>
      <c r="E110" s="5" t="s">
        <v>16</v>
      </c>
      <c r="F110" s="7">
        <v>64</v>
      </c>
      <c r="G110" s="7">
        <v>64</v>
      </c>
      <c r="H110" s="5" t="str">
        <f>IF(Tabella1[[#This Row],[Importo]]=Tabella1[[#This Row],[Saldato]],"SI","NO")</f>
        <v>SI</v>
      </c>
      <c r="I110" s="8">
        <v>40</v>
      </c>
    </row>
    <row r="111" spans="1:9" x14ac:dyDescent="0.3">
      <c r="A111" s="4">
        <v>110</v>
      </c>
      <c r="B111" s="5">
        <v>45213</v>
      </c>
      <c r="C111" s="5" t="s">
        <v>23</v>
      </c>
      <c r="D111" s="5" t="s">
        <v>25</v>
      </c>
      <c r="E111" s="5" t="s">
        <v>27</v>
      </c>
      <c r="F111" s="7">
        <v>171</v>
      </c>
      <c r="G111" s="7" t="s">
        <v>29</v>
      </c>
      <c r="H111" s="5" t="str">
        <f>IF(Tabella1[[#This Row],[Importo]]=Tabella1[[#This Row],[Saldato]],"SI","NO")</f>
        <v>NO</v>
      </c>
      <c r="I111" s="8">
        <v>30</v>
      </c>
    </row>
    <row r="112" spans="1:9" x14ac:dyDescent="0.3">
      <c r="A112" s="4">
        <v>111</v>
      </c>
      <c r="B112" s="5">
        <v>45200</v>
      </c>
      <c r="C112" s="5" t="s">
        <v>24</v>
      </c>
      <c r="D112" s="5" t="s">
        <v>31</v>
      </c>
      <c r="E112" s="5" t="s">
        <v>17</v>
      </c>
      <c r="F112" s="7">
        <v>59.6</v>
      </c>
      <c r="G112" s="7">
        <v>59.6</v>
      </c>
      <c r="H112" s="5" t="str">
        <f>IF(Tabella1[[#This Row],[Importo]]=Tabella1[[#This Row],[Saldato]],"SI","NO")</f>
        <v>SI</v>
      </c>
      <c r="I112" s="8"/>
    </row>
    <row r="113" spans="1:9" x14ac:dyDescent="0.3">
      <c r="A113" s="4">
        <v>112</v>
      </c>
      <c r="B113" s="5">
        <v>45239</v>
      </c>
      <c r="C113" s="5" t="s">
        <v>23</v>
      </c>
      <c r="D113" s="5" t="s">
        <v>25</v>
      </c>
      <c r="E113" s="5" t="s">
        <v>27</v>
      </c>
      <c r="F113" s="7">
        <v>297.5</v>
      </c>
      <c r="G113" s="7">
        <v>297.5</v>
      </c>
      <c r="H113" s="5" t="str">
        <f>IF(Tabella1[[#This Row],[Importo]]=Tabella1[[#This Row],[Saldato]],"SI","NO")</f>
        <v>SI</v>
      </c>
      <c r="I113" s="8">
        <v>35</v>
      </c>
    </row>
    <row r="114" spans="1:9" x14ac:dyDescent="0.3">
      <c r="A114" s="4">
        <v>113</v>
      </c>
      <c r="B114" s="5">
        <v>45231</v>
      </c>
      <c r="C114" s="5" t="s">
        <v>23</v>
      </c>
      <c r="D114" s="5" t="s">
        <v>15</v>
      </c>
      <c r="E114" s="5" t="s">
        <v>16</v>
      </c>
      <c r="F114" s="7">
        <v>144</v>
      </c>
      <c r="G114" s="7">
        <v>144</v>
      </c>
      <c r="H114" s="5" t="str">
        <f>IF(Tabella1[[#This Row],[Importo]]=Tabella1[[#This Row],[Saldato]],"SI","NO")</f>
        <v>SI</v>
      </c>
      <c r="I114" s="8">
        <v>40</v>
      </c>
    </row>
    <row r="115" spans="1:9" x14ac:dyDescent="0.3">
      <c r="A115" s="4">
        <v>114</v>
      </c>
      <c r="B115" s="1">
        <v>45234</v>
      </c>
      <c r="C115" s="5" t="s">
        <v>24</v>
      </c>
      <c r="D115" s="5" t="s">
        <v>32</v>
      </c>
      <c r="E115" s="5" t="s">
        <v>22</v>
      </c>
      <c r="F115" s="7">
        <v>125.8</v>
      </c>
      <c r="G115" s="7">
        <v>125.8</v>
      </c>
      <c r="H115" s="5" t="str">
        <f>IF(Tabella1[[#This Row],[Importo]]=Tabella1[[#This Row],[Saldato]],"SI","NO")</f>
        <v>SI</v>
      </c>
      <c r="I115" s="8"/>
    </row>
    <row r="116" spans="1:9" x14ac:dyDescent="0.3">
      <c r="A116" s="4">
        <v>115</v>
      </c>
      <c r="B116" s="1">
        <v>45235</v>
      </c>
      <c r="C116" s="5" t="s">
        <v>23</v>
      </c>
      <c r="D116" s="5" t="s">
        <v>15</v>
      </c>
      <c r="E116" s="5" t="s">
        <v>10</v>
      </c>
      <c r="F116" s="2">
        <v>27.500000000000004</v>
      </c>
      <c r="G116" s="2" t="s">
        <v>29</v>
      </c>
      <c r="H116" s="1" t="str">
        <f>IF(Tabella1[[#This Row],[Importo]]=Tabella1[[#This Row],[Saldato]],"SI","NO")</f>
        <v>NO</v>
      </c>
      <c r="I116" s="3">
        <v>25</v>
      </c>
    </row>
    <row r="117" spans="1:9" x14ac:dyDescent="0.3">
      <c r="A117" s="4">
        <v>116</v>
      </c>
      <c r="B117" s="1">
        <v>45236</v>
      </c>
      <c r="C117" s="5" t="s">
        <v>23</v>
      </c>
      <c r="D117" s="5" t="s">
        <v>25</v>
      </c>
      <c r="E117" s="5" t="s">
        <v>27</v>
      </c>
      <c r="F117" s="2">
        <v>142.5</v>
      </c>
      <c r="G117" s="2">
        <v>142.5</v>
      </c>
      <c r="H117" s="1" t="str">
        <f>IF(Tabella1[[#This Row],[Importo]]=Tabella1[[#This Row],[Saldato]],"SI","NO")</f>
        <v>SI</v>
      </c>
      <c r="I117" s="3">
        <v>25</v>
      </c>
    </row>
    <row r="118" spans="1:9" x14ac:dyDescent="0.3">
      <c r="A118" s="4">
        <v>117</v>
      </c>
      <c r="B118" s="1">
        <v>45237</v>
      </c>
      <c r="C118" s="5" t="s">
        <v>23</v>
      </c>
      <c r="D118" s="5" t="s">
        <v>25</v>
      </c>
      <c r="E118" s="5" t="s">
        <v>27</v>
      </c>
      <c r="F118" s="2">
        <v>62.999999999999993</v>
      </c>
      <c r="G118" s="2">
        <v>62.999999999999993</v>
      </c>
      <c r="H118" s="1" t="str">
        <f>IF(Tabella1[[#This Row],[Importo]]=Tabella1[[#This Row],[Saldato]],"SI","NO")</f>
        <v>SI</v>
      </c>
      <c r="I118" s="3">
        <v>30</v>
      </c>
    </row>
    <row r="119" spans="1:9" x14ac:dyDescent="0.3">
      <c r="A119" s="4">
        <v>118</v>
      </c>
      <c r="B119" s="1">
        <v>45238</v>
      </c>
      <c r="C119" s="5" t="s">
        <v>23</v>
      </c>
      <c r="D119" s="5" t="s">
        <v>25</v>
      </c>
      <c r="E119" s="5" t="s">
        <v>27</v>
      </c>
      <c r="F119" s="2">
        <v>90</v>
      </c>
      <c r="G119" s="2">
        <v>90</v>
      </c>
      <c r="H119" s="1" t="str">
        <f>IF(Tabella1[[#This Row],[Importo]]=Tabella1[[#This Row],[Saldato]],"SI","NO")</f>
        <v>SI</v>
      </c>
      <c r="I119" s="3">
        <v>30</v>
      </c>
    </row>
    <row r="120" spans="1:9" x14ac:dyDescent="0.3">
      <c r="A120" s="4">
        <v>119</v>
      </c>
      <c r="B120" s="1">
        <v>45239</v>
      </c>
      <c r="C120" s="5" t="s">
        <v>23</v>
      </c>
      <c r="D120" s="5" t="s">
        <v>25</v>
      </c>
      <c r="E120" s="5" t="s">
        <v>27</v>
      </c>
      <c r="F120" s="2">
        <v>228</v>
      </c>
      <c r="G120" s="2">
        <v>228</v>
      </c>
      <c r="H120" s="1" t="str">
        <f>IF(Tabella1[[#This Row],[Importo]]=Tabella1[[#This Row],[Saldato]],"SI","NO")</f>
        <v>SI</v>
      </c>
      <c r="I120" s="3">
        <v>30</v>
      </c>
    </row>
    <row r="121" spans="1:9" x14ac:dyDescent="0.3">
      <c r="A121" s="4">
        <v>120</v>
      </c>
      <c r="B121" s="1">
        <v>45240</v>
      </c>
      <c r="C121" s="5" t="s">
        <v>23</v>
      </c>
      <c r="D121" s="5" t="s">
        <v>25</v>
      </c>
      <c r="E121" s="5" t="s">
        <v>27</v>
      </c>
      <c r="F121" s="2">
        <v>48</v>
      </c>
      <c r="G121" s="2">
        <v>48</v>
      </c>
      <c r="H121" s="1" t="str">
        <f>IF(Tabella1[[#This Row],[Importo]]=Tabella1[[#This Row],[Saldato]],"SI","NO")</f>
        <v>SI</v>
      </c>
      <c r="I121" s="3">
        <v>30</v>
      </c>
    </row>
    <row r="122" spans="1:9" x14ac:dyDescent="0.3">
      <c r="A122" s="4">
        <v>121</v>
      </c>
      <c r="B122" s="1">
        <v>45241</v>
      </c>
      <c r="C122" s="5" t="s">
        <v>23</v>
      </c>
      <c r="D122" s="1" t="s">
        <v>15</v>
      </c>
      <c r="E122" s="1" t="s">
        <v>13</v>
      </c>
      <c r="F122" s="2">
        <v>450</v>
      </c>
      <c r="G122" s="2">
        <v>450</v>
      </c>
      <c r="H122" s="1" t="str">
        <f>IF(Tabella1[[#This Row],[Importo]]=Tabella1[[#This Row],[Saldato]],"SI","NO")</f>
        <v>SI</v>
      </c>
      <c r="I122" s="3">
        <v>50</v>
      </c>
    </row>
    <row r="123" spans="1:9" x14ac:dyDescent="0.3">
      <c r="A123" s="4">
        <v>122</v>
      </c>
      <c r="B123" s="1">
        <v>45242</v>
      </c>
      <c r="C123" s="5" t="s">
        <v>23</v>
      </c>
      <c r="D123" s="5" t="s">
        <v>25</v>
      </c>
      <c r="E123" s="5" t="s">
        <v>27</v>
      </c>
      <c r="F123" s="2">
        <v>26</v>
      </c>
      <c r="G123" s="2">
        <v>26</v>
      </c>
      <c r="H123" s="1" t="str">
        <f>IF(Tabella1[[#This Row],[Importo]]=Tabella1[[#This Row],[Saldato]],"SI","NO")</f>
        <v>SI</v>
      </c>
      <c r="I123" s="3">
        <v>20</v>
      </c>
    </row>
    <row r="124" spans="1:9" x14ac:dyDescent="0.3">
      <c r="A124" s="4">
        <v>123</v>
      </c>
      <c r="B124" s="1">
        <v>45243</v>
      </c>
      <c r="C124" s="5" t="s">
        <v>23</v>
      </c>
      <c r="D124" s="5" t="s">
        <v>25</v>
      </c>
      <c r="E124" s="5" t="s">
        <v>27</v>
      </c>
      <c r="F124" s="2">
        <v>210</v>
      </c>
      <c r="G124" s="2">
        <v>210</v>
      </c>
      <c r="H124" s="1" t="str">
        <f>IF(Tabella1[[#This Row],[Importo]]=Tabella1[[#This Row],[Saldato]],"SI","NO")</f>
        <v>SI</v>
      </c>
      <c r="I124" s="3">
        <v>35</v>
      </c>
    </row>
    <row r="125" spans="1:9" x14ac:dyDescent="0.3">
      <c r="A125" s="4">
        <v>124</v>
      </c>
      <c r="B125" s="1">
        <v>45244</v>
      </c>
      <c r="C125" s="5" t="s">
        <v>23</v>
      </c>
      <c r="D125" s="1" t="s">
        <v>15</v>
      </c>
      <c r="E125" s="1" t="s">
        <v>10</v>
      </c>
      <c r="F125" s="2">
        <v>192</v>
      </c>
      <c r="G125" s="2" t="s">
        <v>29</v>
      </c>
      <c r="H125" s="1" t="str">
        <f>IF(Tabella1[[#This Row],[Importo]]=Tabella1[[#This Row],[Saldato]],"SI","NO")</f>
        <v>NO</v>
      </c>
      <c r="I125" s="3">
        <v>40</v>
      </c>
    </row>
    <row r="126" spans="1:9" x14ac:dyDescent="0.3">
      <c r="A126" s="4">
        <v>125</v>
      </c>
      <c r="B126" s="1">
        <v>45243</v>
      </c>
      <c r="C126" s="5" t="s">
        <v>23</v>
      </c>
      <c r="D126" s="1" t="s">
        <v>15</v>
      </c>
      <c r="E126" s="1" t="s">
        <v>10</v>
      </c>
      <c r="F126" s="2">
        <v>18</v>
      </c>
      <c r="G126" s="2">
        <v>18</v>
      </c>
      <c r="H126" s="1" t="str">
        <f>IF(Tabella1[[#This Row],[Importo]]=Tabella1[[#This Row],[Saldato]],"SI","NO")</f>
        <v>SI</v>
      </c>
      <c r="I126" s="3">
        <v>450</v>
      </c>
    </row>
    <row r="127" spans="1:9" x14ac:dyDescent="0.3">
      <c r="A127" s="4">
        <v>126</v>
      </c>
      <c r="B127" s="1">
        <v>45243</v>
      </c>
      <c r="C127" s="5" t="s">
        <v>23</v>
      </c>
      <c r="D127" s="5" t="s">
        <v>25</v>
      </c>
      <c r="E127" s="5" t="s">
        <v>27</v>
      </c>
      <c r="F127" s="2">
        <v>25</v>
      </c>
      <c r="G127" s="2">
        <v>25</v>
      </c>
      <c r="H127" s="1" t="str">
        <f>IF(Tabella1[[#This Row],[Importo]]=Tabella1[[#This Row],[Saldato]],"SI","NO")</f>
        <v>SI</v>
      </c>
      <c r="I127" s="3">
        <v>25</v>
      </c>
    </row>
    <row r="128" spans="1:9" x14ac:dyDescent="0.3">
      <c r="A128" s="4">
        <v>127</v>
      </c>
      <c r="B128" s="1">
        <v>45239</v>
      </c>
      <c r="C128" s="5" t="s">
        <v>23</v>
      </c>
      <c r="D128" s="5" t="s">
        <v>25</v>
      </c>
      <c r="E128" s="6" t="s">
        <v>26</v>
      </c>
      <c r="F128" s="2">
        <v>14</v>
      </c>
      <c r="G128" s="2">
        <v>14</v>
      </c>
      <c r="H128" s="1" t="str">
        <f>IF(Tabella1[[#This Row],[Importo]]=Tabella1[[#This Row],[Saldato]],"SI","NO")</f>
        <v>SI</v>
      </c>
      <c r="I128" s="3">
        <v>35</v>
      </c>
    </row>
    <row r="129" spans="1:9" x14ac:dyDescent="0.3">
      <c r="A129" s="4">
        <v>128</v>
      </c>
      <c r="B129" s="1">
        <v>45239</v>
      </c>
      <c r="C129" s="5" t="s">
        <v>24</v>
      </c>
      <c r="D129" s="5" t="s">
        <v>30</v>
      </c>
      <c r="E129" s="5" t="s">
        <v>28</v>
      </c>
      <c r="F129" s="2">
        <v>412.27199999999999</v>
      </c>
      <c r="G129" s="2">
        <v>412.27199999999999</v>
      </c>
      <c r="H129" s="1" t="str">
        <f>IF(Tabella1[[#This Row],[Importo]]=Tabella1[[#This Row],[Saldato]],"SI","NO")</f>
        <v>SI</v>
      </c>
      <c r="I129" s="3"/>
    </row>
    <row r="130" spans="1:9" x14ac:dyDescent="0.3">
      <c r="A130" s="4">
        <v>129</v>
      </c>
      <c r="B130" s="1">
        <v>45244</v>
      </c>
      <c r="C130" s="5" t="s">
        <v>23</v>
      </c>
      <c r="D130" s="5" t="s">
        <v>25</v>
      </c>
      <c r="E130" s="6" t="s">
        <v>26</v>
      </c>
      <c r="F130" s="2">
        <v>98</v>
      </c>
      <c r="G130" s="2">
        <v>98</v>
      </c>
      <c r="H130" s="1" t="str">
        <f>IF(Tabella1[[#This Row],[Importo]]=Tabella1[[#This Row],[Saldato]],"SI","NO")</f>
        <v>SI</v>
      </c>
      <c r="I130" s="3">
        <v>35</v>
      </c>
    </row>
    <row r="131" spans="1:9" x14ac:dyDescent="0.3">
      <c r="A131" s="4">
        <v>130</v>
      </c>
      <c r="B131" s="1">
        <v>45244</v>
      </c>
      <c r="C131" s="5" t="s">
        <v>23</v>
      </c>
      <c r="D131" s="1" t="s">
        <v>15</v>
      </c>
      <c r="E131" s="1" t="s">
        <v>10</v>
      </c>
      <c r="F131" s="2">
        <v>40</v>
      </c>
      <c r="G131" s="2" t="s">
        <v>29</v>
      </c>
      <c r="H131" s="1" t="str">
        <f>IF(Tabella1[[#This Row],[Importo]]=Tabella1[[#This Row],[Saldato]],"SI","NO")</f>
        <v>NO</v>
      </c>
      <c r="I131" s="3">
        <v>40</v>
      </c>
    </row>
    <row r="132" spans="1:9" x14ac:dyDescent="0.3">
      <c r="A132" s="4">
        <v>131</v>
      </c>
      <c r="B132" s="1">
        <v>45249</v>
      </c>
      <c r="C132" s="5" t="s">
        <v>24</v>
      </c>
      <c r="D132" s="5" t="s">
        <v>31</v>
      </c>
      <c r="E132" s="1" t="s">
        <v>19</v>
      </c>
      <c r="F132" s="2">
        <v>38</v>
      </c>
      <c r="G132" s="2">
        <v>38</v>
      </c>
      <c r="H132" s="1" t="str">
        <f>IF(Tabella1[[#This Row],[Importo]]=Tabella1[[#This Row],[Saldato]],"SI","NO")</f>
        <v>SI</v>
      </c>
      <c r="I132" s="3"/>
    </row>
    <row r="133" spans="1:9" x14ac:dyDescent="0.3">
      <c r="A133" s="4">
        <v>132</v>
      </c>
      <c r="B133" s="1">
        <v>45249</v>
      </c>
      <c r="C133" s="5" t="s">
        <v>23</v>
      </c>
      <c r="D133" s="5" t="s">
        <v>25</v>
      </c>
      <c r="E133" s="5" t="s">
        <v>27</v>
      </c>
      <c r="F133" s="2">
        <v>25</v>
      </c>
      <c r="G133" s="2">
        <v>25</v>
      </c>
      <c r="H133" s="1" t="str">
        <f>IF(Tabella1[[#This Row],[Importo]]=Tabella1[[#This Row],[Saldato]],"SI","NO")</f>
        <v>SI</v>
      </c>
      <c r="I133" s="3">
        <v>25</v>
      </c>
    </row>
    <row r="134" spans="1:9" x14ac:dyDescent="0.3">
      <c r="A134" s="4">
        <v>133</v>
      </c>
      <c r="B134" s="1">
        <v>45253</v>
      </c>
      <c r="C134" s="5" t="s">
        <v>24</v>
      </c>
      <c r="D134" s="5" t="s">
        <v>31</v>
      </c>
      <c r="E134" s="1" t="s">
        <v>21</v>
      </c>
      <c r="F134" s="2">
        <v>22.8</v>
      </c>
      <c r="G134" s="2">
        <v>22.8</v>
      </c>
      <c r="H134" s="1" t="str">
        <f>IF(Tabella1[[#This Row],[Importo]]=Tabella1[[#This Row],[Saldato]],"SI","NO")</f>
        <v>SI</v>
      </c>
      <c r="I134" s="3"/>
    </row>
    <row r="135" spans="1:9" x14ac:dyDescent="0.3">
      <c r="A135" s="4">
        <v>134</v>
      </c>
      <c r="B135" s="1">
        <v>45253</v>
      </c>
      <c r="C135" s="5" t="s">
        <v>23</v>
      </c>
      <c r="D135" s="1" t="s">
        <v>15</v>
      </c>
      <c r="E135" s="1" t="s">
        <v>10</v>
      </c>
      <c r="F135" s="2">
        <v>0</v>
      </c>
      <c r="G135" s="2" t="s">
        <v>29</v>
      </c>
      <c r="H135" s="1" t="str">
        <f>IF(Tabella1[[#This Row],[Importo]]=Tabella1[[#This Row],[Saldato]],"SI","NO")</f>
        <v>NO</v>
      </c>
      <c r="I135" s="3">
        <v>35</v>
      </c>
    </row>
    <row r="136" spans="1:9" x14ac:dyDescent="0.3">
      <c r="A136" s="4">
        <v>135</v>
      </c>
      <c r="B136" s="1">
        <v>45253</v>
      </c>
      <c r="C136" s="5" t="s">
        <v>23</v>
      </c>
      <c r="D136" s="5" t="s">
        <v>25</v>
      </c>
      <c r="E136" s="6" t="s">
        <v>26</v>
      </c>
      <c r="F136" s="2">
        <v>28</v>
      </c>
      <c r="G136" s="2">
        <v>28</v>
      </c>
      <c r="H136" s="1" t="str">
        <f>IF(Tabella1[[#This Row],[Importo]]=Tabella1[[#This Row],[Saldato]],"SI","NO")</f>
        <v>SI</v>
      </c>
      <c r="I136" s="3">
        <v>35</v>
      </c>
    </row>
    <row r="137" spans="1:9" x14ac:dyDescent="0.3">
      <c r="A137" s="4">
        <v>136</v>
      </c>
      <c r="B137" s="1">
        <v>45256</v>
      </c>
      <c r="C137" s="5" t="s">
        <v>23</v>
      </c>
      <c r="D137" s="1" t="s">
        <v>15</v>
      </c>
      <c r="E137" s="1" t="s">
        <v>10</v>
      </c>
      <c r="F137" s="2">
        <v>68</v>
      </c>
      <c r="G137" s="2" t="s">
        <v>29</v>
      </c>
      <c r="H137" s="1" t="str">
        <f>IF(Tabella1[[#This Row],[Importo]]=Tabella1[[#This Row],[Saldato]],"SI","NO")</f>
        <v>NO</v>
      </c>
      <c r="I137" s="3">
        <v>40</v>
      </c>
    </row>
    <row r="138" spans="1:9" x14ac:dyDescent="0.3">
      <c r="A138" s="4">
        <v>137</v>
      </c>
      <c r="B138" s="1">
        <v>45260</v>
      </c>
      <c r="C138" s="5" t="s">
        <v>23</v>
      </c>
      <c r="D138" s="5" t="s">
        <v>25</v>
      </c>
      <c r="E138" s="6" t="s">
        <v>26</v>
      </c>
      <c r="F138" s="2">
        <v>28</v>
      </c>
      <c r="G138" s="2">
        <v>28</v>
      </c>
      <c r="H138" s="1" t="str">
        <f>IF(Tabella1[[#This Row],[Importo]]=Tabella1[[#This Row],[Saldato]],"SI","NO")</f>
        <v>SI</v>
      </c>
      <c r="I138" s="3">
        <v>35</v>
      </c>
    </row>
    <row r="139" spans="1:9" x14ac:dyDescent="0.3">
      <c r="A139" s="4">
        <v>138</v>
      </c>
      <c r="B139" s="1">
        <v>45290</v>
      </c>
      <c r="C139" s="5" t="s">
        <v>23</v>
      </c>
      <c r="D139" s="1" t="s">
        <v>15</v>
      </c>
      <c r="E139" s="1" t="s">
        <v>16</v>
      </c>
      <c r="F139" s="2">
        <v>272</v>
      </c>
      <c r="G139" s="2">
        <v>272</v>
      </c>
      <c r="H139" s="1" t="str">
        <f>IF(Tabella1[[#This Row],[Importo]]=Tabella1[[#This Row],[Saldato]],"SI","NO")</f>
        <v>SI</v>
      </c>
      <c r="I139" s="3">
        <v>40</v>
      </c>
    </row>
    <row r="140" spans="1:9" x14ac:dyDescent="0.3">
      <c r="A140" s="4">
        <v>139</v>
      </c>
      <c r="B140" s="1">
        <v>45260</v>
      </c>
      <c r="C140" s="5" t="s">
        <v>24</v>
      </c>
      <c r="D140" s="1" t="s">
        <v>12</v>
      </c>
      <c r="E140" s="1" t="s">
        <v>13</v>
      </c>
      <c r="F140" s="2">
        <v>17.724</v>
      </c>
      <c r="G140" s="2">
        <v>17.724</v>
      </c>
      <c r="H140" s="1" t="str">
        <f>IF(Tabella1[[#This Row],[Importo]]=Tabella1[[#This Row],[Saldato]],"SI","NO")</f>
        <v>SI</v>
      </c>
      <c r="I140" s="3"/>
    </row>
    <row r="141" spans="1:9" x14ac:dyDescent="0.3">
      <c r="A141" s="4">
        <v>140</v>
      </c>
      <c r="B141" s="1">
        <v>45231</v>
      </c>
      <c r="C141" s="5" t="s">
        <v>23</v>
      </c>
      <c r="D141" s="1" t="s">
        <v>15</v>
      </c>
      <c r="E141" s="1" t="s">
        <v>14</v>
      </c>
      <c r="F141" s="2">
        <v>204</v>
      </c>
      <c r="G141" s="2" t="s">
        <v>29</v>
      </c>
      <c r="H141" s="1" t="str">
        <f>IF(Tabella1[[#This Row],[Importo]]=Tabella1[[#This Row],[Saldato]],"SI","NO")</f>
        <v>NO</v>
      </c>
      <c r="I141" s="3">
        <v>40</v>
      </c>
    </row>
    <row r="142" spans="1:9" x14ac:dyDescent="0.3">
      <c r="A142" s="4">
        <v>141</v>
      </c>
      <c r="B142" s="1">
        <v>45235</v>
      </c>
      <c r="C142" s="5" t="s">
        <v>23</v>
      </c>
      <c r="D142" s="5" t="s">
        <v>25</v>
      </c>
      <c r="E142" s="6" t="s">
        <v>26</v>
      </c>
      <c r="F142" s="2">
        <v>42</v>
      </c>
      <c r="G142" s="2">
        <v>42</v>
      </c>
      <c r="H142" s="1" t="str">
        <f>IF(Tabella1[[#This Row],[Importo]]=Tabella1[[#This Row],[Saldato]],"SI","NO")</f>
        <v>SI</v>
      </c>
      <c r="I142" s="3">
        <v>35</v>
      </c>
    </row>
    <row r="143" spans="1:9" x14ac:dyDescent="0.3">
      <c r="A143" s="4">
        <v>142</v>
      </c>
      <c r="B143" s="1">
        <v>45236</v>
      </c>
      <c r="C143" s="5" t="s">
        <v>23</v>
      </c>
      <c r="D143" s="1" t="s">
        <v>15</v>
      </c>
      <c r="E143" s="1" t="s">
        <v>10</v>
      </c>
      <c r="F143" s="2">
        <v>156.79999999999998</v>
      </c>
      <c r="G143" s="2" t="s">
        <v>29</v>
      </c>
      <c r="H143" s="1" t="str">
        <f>IF(Tabella1[[#This Row],[Importo]]=Tabella1[[#This Row],[Saldato]],"SI","NO")</f>
        <v>NO</v>
      </c>
      <c r="I143" s="3">
        <v>45</v>
      </c>
    </row>
    <row r="144" spans="1:9" x14ac:dyDescent="0.3">
      <c r="A144" s="4">
        <v>143</v>
      </c>
      <c r="B144" s="1">
        <v>45267</v>
      </c>
      <c r="C144" s="5" t="s">
        <v>23</v>
      </c>
      <c r="D144" s="1" t="s">
        <v>15</v>
      </c>
      <c r="E144" s="1" t="s">
        <v>10</v>
      </c>
      <c r="F144" s="2">
        <v>62.999999999999993</v>
      </c>
      <c r="G144" s="2">
        <v>62.999999999999993</v>
      </c>
      <c r="H144" s="1" t="str">
        <f>IF(Tabella1[[#This Row],[Importo]]=Tabella1[[#This Row],[Saldato]],"SI","NO")</f>
        <v>SI</v>
      </c>
      <c r="I144" s="3">
        <v>45</v>
      </c>
    </row>
    <row r="145" spans="1:9" x14ac:dyDescent="0.3">
      <c r="A145" s="4">
        <v>144</v>
      </c>
      <c r="B145" s="1">
        <v>45268</v>
      </c>
      <c r="C145" s="5" t="s">
        <v>23</v>
      </c>
      <c r="D145" s="1" t="s">
        <v>15</v>
      </c>
      <c r="E145" s="1" t="s">
        <v>14</v>
      </c>
      <c r="F145" s="2">
        <v>52</v>
      </c>
      <c r="G145" s="2">
        <v>52</v>
      </c>
      <c r="H145" s="1" t="str">
        <f>IF(Tabella1[[#This Row],[Importo]]=Tabella1[[#This Row],[Saldato]],"SI","NO")</f>
        <v>SI</v>
      </c>
      <c r="I145" s="3">
        <v>40</v>
      </c>
    </row>
    <row r="146" spans="1:9" x14ac:dyDescent="0.3">
      <c r="A146" s="4">
        <v>145</v>
      </c>
      <c r="B146" s="1">
        <v>45269</v>
      </c>
      <c r="C146" s="5" t="s">
        <v>23</v>
      </c>
      <c r="D146" s="1" t="s">
        <v>15</v>
      </c>
      <c r="E146" s="1" t="s">
        <v>13</v>
      </c>
      <c r="F146" s="2">
        <v>165</v>
      </c>
      <c r="G146" s="2">
        <v>165</v>
      </c>
      <c r="H146" s="1" t="str">
        <f>IF(Tabella1[[#This Row],[Importo]]=Tabella1[[#This Row],[Saldato]],"SI","NO")</f>
        <v>SI</v>
      </c>
      <c r="I146" s="3">
        <v>50</v>
      </c>
    </row>
    <row r="147" spans="1:9" x14ac:dyDescent="0.3">
      <c r="A147" s="4">
        <v>146</v>
      </c>
      <c r="B147" s="1">
        <v>45270</v>
      </c>
      <c r="C147" s="5" t="s">
        <v>23</v>
      </c>
      <c r="D147" s="1" t="s">
        <v>15</v>
      </c>
      <c r="E147" s="1" t="s">
        <v>16</v>
      </c>
      <c r="F147" s="2">
        <v>210</v>
      </c>
      <c r="G147" s="2">
        <v>210</v>
      </c>
      <c r="H147" s="1" t="str">
        <f>IF(Tabella1[[#This Row],[Importo]]=Tabella1[[#This Row],[Saldato]],"SI","NO")</f>
        <v>SI</v>
      </c>
      <c r="I147" s="3">
        <v>50</v>
      </c>
    </row>
    <row r="148" spans="1:9" x14ac:dyDescent="0.3">
      <c r="A148" s="4">
        <v>147</v>
      </c>
      <c r="B148" s="1">
        <v>45271</v>
      </c>
      <c r="C148" s="5" t="s">
        <v>23</v>
      </c>
      <c r="D148" s="1" t="s">
        <v>15</v>
      </c>
      <c r="E148" s="1" t="s">
        <v>13</v>
      </c>
      <c r="F148" s="2">
        <v>270</v>
      </c>
      <c r="G148" s="2">
        <v>270</v>
      </c>
      <c r="H148" s="1" t="str">
        <f>IF(Tabella1[[#This Row],[Importo]]=Tabella1[[#This Row],[Saldato]],"SI","NO")</f>
        <v>SI</v>
      </c>
      <c r="I148" s="3">
        <v>45</v>
      </c>
    </row>
    <row r="149" spans="1:9" x14ac:dyDescent="0.3">
      <c r="A149" s="4">
        <v>148</v>
      </c>
      <c r="B149" s="1">
        <v>45272</v>
      </c>
      <c r="C149" s="5" t="s">
        <v>23</v>
      </c>
      <c r="D149" s="1" t="s">
        <v>15</v>
      </c>
      <c r="E149" s="1" t="s">
        <v>13</v>
      </c>
      <c r="F149" s="2">
        <v>600</v>
      </c>
      <c r="G149" s="2">
        <v>600</v>
      </c>
      <c r="H149" s="1" t="str">
        <f>IF(Tabella1[[#This Row],[Importo]]=Tabella1[[#This Row],[Saldato]],"SI","NO")</f>
        <v>SI</v>
      </c>
      <c r="I149" s="3">
        <v>50</v>
      </c>
    </row>
    <row r="150" spans="1:9" x14ac:dyDescent="0.3">
      <c r="A150" s="4">
        <v>149</v>
      </c>
      <c r="B150" s="1">
        <v>45273</v>
      </c>
      <c r="C150" s="5" t="s">
        <v>24</v>
      </c>
      <c r="D150" s="5" t="s">
        <v>30</v>
      </c>
      <c r="E150" s="5" t="s">
        <v>28</v>
      </c>
      <c r="F150" s="2">
        <v>480</v>
      </c>
      <c r="G150" s="2">
        <v>480</v>
      </c>
      <c r="H150" s="1" t="str">
        <f>IF(Tabella1[[#This Row],[Importo]]=Tabella1[[#This Row],[Saldato]],"SI","NO")</f>
        <v>SI</v>
      </c>
      <c r="I150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Iantomasi</dc:creator>
  <cp:lastModifiedBy>Nicola Iantomasi</cp:lastModifiedBy>
  <dcterms:created xsi:type="dcterms:W3CDTF">2023-12-06T14:17:21Z</dcterms:created>
  <dcterms:modified xsi:type="dcterms:W3CDTF">2023-12-08T10:29:13Z</dcterms:modified>
</cp:coreProperties>
</file>